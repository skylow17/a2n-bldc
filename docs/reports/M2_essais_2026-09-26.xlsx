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onditions" sheetId="2" state="visible" r:id="rId2"/>
    <sheet name="Étape 5 — courants" sheetId="3" state="visible" r:id="rId3"/>
    <sheet name="Capture 600-500-500" sheetId="4" state="visible" r:id="rId4"/>
    <sheet name="Gains" sheetId="5" state="visible" r:id="rId5"/>
    <sheet name="Zéro courant" sheetId="6" state="visible" r:id="rId6"/>
    <sheet name="Étape 7 — R, L, échelle" sheetId="7" state="visible" r:id="rId7"/>
    <sheet name="Étapes 9 et 8" sheetId="8" state="visible" r:id="rId8"/>
    <sheet name="Métho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"/>
    <numFmt numFmtId="167" formatCode="0.0000"/>
    <numFmt numFmtId="168" formatCode="0.000E+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  <font>
      <name val="Arial"/>
      <color rgb="000000FF"/>
      <sz val="10"/>
    </font>
    <font>
      <name val="Arial"/>
      <color rgb="0080808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4" fillId="0" borderId="1" pivotButton="0" quotePrefix="0" xfId="0"/>
    <xf numFmtId="2" fontId="6" fillId="0" borderId="1" pivotButton="0" quotePrefix="0" xfId="0"/>
    <xf numFmtId="164" fontId="6" fillId="0" borderId="1" pivotButton="0" quotePrefix="0" xfId="0"/>
    <xf numFmtId="1" fontId="6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166" fontId="6" fillId="0" borderId="1" pivotButton="0" quotePrefix="0" xfId="0"/>
    <xf numFmtId="166" fontId="4" fillId="0" borderId="1" pivotButton="0" quotePrefix="0" xfId="0"/>
    <xf numFmtId="1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6" fontId="7" fillId="0" borderId="1" pivotButton="0" quotePrefix="0" xfId="0"/>
    <xf numFmtId="165" fontId="7" fillId="0" borderId="1" pivotButton="0" quotePrefix="0" xfId="0"/>
    <xf numFmtId="1" fontId="7" fillId="0" borderId="1" pivotButton="0" quotePrefix="0" xfId="0"/>
    <xf numFmtId="164" fontId="7" fillId="0" borderId="1" pivotButton="0" quotePrefix="0" xfId="0"/>
    <xf numFmtId="0" fontId="7" fillId="0" borderId="1" applyAlignment="1" pivotButton="0" quotePrefix="0" xfId="0">
      <alignment vertical="top" wrapText="1"/>
    </xf>
    <xf numFmtId="1" fontId="4" fillId="0" borderId="1" applyAlignment="1" pivotButton="0" quotePrefix="0" xfId="0">
      <alignment horizontal="center" vertical="center" wrapText="1"/>
    </xf>
    <xf numFmtId="1" fontId="4" fillId="0" borderId="1" pivotButton="0" quotePrefix="0" xfId="0"/>
    <xf numFmtId="164" fontId="4" fillId="0" borderId="1" pivotButton="0" quotePrefix="0" xfId="0"/>
    <xf numFmtId="2" fontId="4" fillId="0" borderId="0" pivotButton="0" quotePrefix="0" xfId="0"/>
    <xf numFmtId="1" fontId="4" fillId="0" borderId="0" pivotButton="0" quotePrefix="0" xfId="0"/>
    <xf numFmtId="167" fontId="4" fillId="0" borderId="0" pivotButton="0" quotePrefix="0" xfId="0"/>
    <xf numFmtId="3" fontId="4" fillId="0" borderId="1" pivotButton="0" quotePrefix="0" xfId="0"/>
    <xf numFmtId="168" fontId="4" fillId="0" borderId="1" pivotButton="0" quotePrefix="0" xfId="0"/>
    <xf numFmtId="167" fontId="4" fillId="0" borderId="1" pivotButton="0" quotePrefix="0" xfId="0"/>
    <xf numFmtId="164" fontId="8" fillId="0" borderId="1" pivotButton="0" quotePrefix="0" xfId="0"/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5" fontId="6" fillId="0" borderId="1" pivotButton="0" quotePrefix="0" xfId="0"/>
    <xf numFmtId="1" fontId="6" fillId="0" borderId="1" applyAlignment="1" pivotButton="0" quotePrefix="0" xfId="0">
      <alignment horizontal="center" vertical="center" wrapText="1"/>
    </xf>
    <xf numFmtId="9" fontId="6" fillId="0" borderId="1" pivotButton="0" quotePrefix="0" xfId="0"/>
    <xf numFmtId="2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Erreur de somme vs écart (phase A dominante)</a:t>
            </a:r>
          </a:p>
        </rich>
      </tx>
    </title>
    <plotArea>
      <scatterChart>
        <ser>
          <idx val="0"/>
          <order val="0"/>
          <tx>
            <strRef>
              <f>'Étape 5 — courants'!B30</f>
            </strRef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circle"/>
            <size val="8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'Étape 5 — courants'!$A$31:$A$35</f>
            </numRef>
          </xVal>
          <yVal>
            <numRef>
              <f>'Étape 5 — courants'!$B$31:$B$35</f>
            </numRef>
          </yVal>
        </ser>
        <ser>
          <idx val="1"/>
          <order val="1"/>
          <tx>
            <strRef>
              <f>'Étape 5 — courants'!C30</f>
            </strRef>
          </tx>
          <spPr>
            <a:ln w="15000">
              <a:noFill/>
              <a:solidFill>
                <a:srgbClr val="1F77B4"/>
              </a:solidFill>
              <a:prstDash val="solid"/>
            </a:ln>
          </spPr>
          <marker>
            <symbol val="diamond"/>
            <size val="8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'Étape 5 — courants'!$A$31:$A$35</f>
            </numRef>
          </xVal>
          <yVal>
            <numRef>
              <f>'Étape 5 — courants'!$C$31:$C$35</f>
            </numRef>
          </yVal>
        </ser>
        <axId val="10"/>
        <axId val="20"/>
      </scatterChart>
      <valAx>
        <axId val="10"/>
        <scaling>
          <orientation val="minMax"/>
          <max val="11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Écart de rapport cyclique (‰)</a:t>
                </a:r>
              </a:p>
            </rich>
          </tx>
        </title>
        <majorTickMark val="none"/>
        <minorTickMark val="none"/>
        <crossAx val="20"/>
        <majorUnit val="10"/>
      </valAx>
      <valAx>
        <axId val="20"/>
        <scaling>
          <orientation val="minMax"/>
          <max val="0.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Σ / max|d|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Courants de phase pendant l'impulsion (600/500/500)</a:t>
            </a:r>
          </a:p>
        </rich>
      </tx>
    </title>
    <plotArea>
      <scatterChart>
        <ser>
          <idx val="0"/>
          <order val="0"/>
          <tx>
            <strRef>
              <f>'Capture 600-500-500'!B4</f>
            </strRef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'Capture 600-500-500'!$A$5:$A$516</f>
            </numRef>
          </xVal>
          <yVal>
            <numRef>
              <f>'Capture 600-500-500'!$B$5:$B$516</f>
            </numRef>
          </yVal>
          <smooth val="0"/>
        </ser>
        <ser>
          <idx val="1"/>
          <order val="1"/>
          <tx>
            <strRef>
              <f>'Capture 600-500-500'!C4</f>
            </strRef>
          </tx>
          <spPr>
            <a:ln w="12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'Capture 600-500-500'!$A$5:$A$516</f>
            </numRef>
          </xVal>
          <yVal>
            <numRef>
              <f>'Capture 600-500-500'!$C$5:$C$516</f>
            </numRef>
          </yVal>
          <smooth val="0"/>
        </ser>
        <ser>
          <idx val="2"/>
          <order val="2"/>
          <tx>
            <strRef>
              <f>'Capture 600-500-500'!D4</f>
            </strRef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'Capture 600-500-500'!$A$5:$A$516</f>
            </numRef>
          </xVal>
          <yVal>
            <numRef>
              <f>'Capture 600-500-500'!$D$5:$D$516</f>
            </numRef>
          </yVal>
          <smooth val="0"/>
        </ser>
        <ser>
          <idx val="3"/>
          <order val="3"/>
          <tx>
            <strRef>
              <f>'Capture 600-500-500'!E4</f>
            </strRef>
          </tx>
          <spPr>
            <a:ln w="12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'Capture 600-500-500'!$A$5:$A$516</f>
            </numRef>
          </xVal>
          <yVal>
            <numRef>
              <f>'Capture 600-500-500'!$E$5:$E$516</f>
            </numRef>
          </yVal>
          <smooth val="0"/>
        </ser>
        <axId val="10"/>
        <axId val="20"/>
      </scatterChart>
      <valAx>
        <axId val="10"/>
        <scaling>
          <orientation val="minMax"/>
          <max val="10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 (ms)</a:t>
                </a:r>
              </a:p>
            </rich>
          </tx>
        </title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Courant (counts centrés)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 1 — erreur de somme par impulsion, brute vs corrigée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'Gains'!H5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'Gains'!$C$6:$C$23</f>
            </numRef>
          </cat>
          <val>
            <numRef>
              <f>'Gains'!$H$6:$H$23</f>
            </numRef>
          </val>
        </ser>
        <ser>
          <idx val="1"/>
          <order val="1"/>
          <tx>
            <strRef>
              <f>'Gains'!I5</f>
            </strRef>
          </tx>
          <spPr>
            <a:solidFill>
              <a:srgbClr val="1F77B4"/>
            </a:solidFill>
            <a:ln>
              <a:prstDash val="solid"/>
            </a:ln>
          </spPr>
          <cat>
            <numRef>
              <f>'Gains'!$C$6:$C$23</f>
            </numRef>
          </cat>
          <val>
            <numRef>
              <f>'Gains'!$I$6:$I$23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Impulsion (configuration ‰)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Σ / max|d|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 2 (firmware corrigé) — erreur de somme par impulsion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'Gains'!H26</f>
            </strRef>
          </tx>
          <spPr>
            <a:solidFill>
              <a:srgbClr val="1F77B4"/>
            </a:solidFill>
            <a:ln>
              <a:prstDash val="solid"/>
            </a:ln>
          </spPr>
          <cat>
            <numRef>
              <f>'Gains'!$C$27:$C$38</f>
            </numRef>
          </cat>
          <val>
            <numRef>
              <f>'Gains'!$H$27:$H$38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Σ / max|d|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Montée normalisée de ia (600/500/500) et exponentielles</a:t>
            </a:r>
          </a:p>
        </rich>
      </tx>
    </title>
    <plotArea>
      <scatterChart>
        <ser>
          <idx val="0"/>
          <order val="0"/>
          <tx>
            <strRef>
              <f>'Étape 7 — R, L, échelle'!C65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'Étape 7 — R, L, échelle'!$A$66:$A$116</f>
            </numRef>
          </xVal>
          <yVal>
            <numRef>
              <f>'Étape 7 — R, L, échelle'!$C$66:$C$116</f>
            </numRef>
          </yVal>
        </ser>
        <ser>
          <idx val="1"/>
          <order val="1"/>
          <tx>
            <strRef>
              <f>'Étape 7 — R, L, échelle'!D65</f>
            </strRef>
          </tx>
          <spPr>
            <a:ln w="19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'Étape 7 — R, L, échelle'!$A$66:$A$116</f>
            </numRef>
          </xVal>
          <yVal>
            <numRef>
              <f>'Étape 7 — R, L, échelle'!$D$66:$D$116</f>
            </numRef>
          </yVal>
        </ser>
        <ser>
          <idx val="2"/>
          <order val="2"/>
          <tx>
            <strRef>
              <f>'Étape 7 — R, L, échelle'!E65</f>
            </strRef>
          </tx>
          <spPr>
            <a:ln w="19000">
              <a:solidFill>
                <a:srgbClr val="7F7F7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'Étape 7 — R, L, échelle'!$A$66:$A$116</f>
            </numRef>
          </xVal>
          <yVal>
            <numRef>
              <f>'Étape 7 — R, L, échelle'!$E$66:$E$116</f>
            </numRef>
          </yVal>
        </ser>
        <axId val="10"/>
        <axId val="20"/>
      </scatterChart>
      <valAx>
        <axId val="10"/>
        <scaling>
          <orientation val="minMax"/>
          <max val="4"/>
          <min val="1.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 (ms)</a:t>
                </a:r>
              </a:p>
            </rich>
          </tx>
        </title>
        <numFmt formatCode="0.00" sourceLinked="0"/>
        <majorTickMark val="none"/>
        <minorTickMark val="none"/>
        <crossAx val="20"/>
        <majorUnit val="0.25"/>
      </valAx>
      <valAx>
        <axId val="20"/>
        <scaling>
          <orientation val="minMax"/>
          <max val="1.2"/>
          <min val="-0.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ia normalisé (0 → 1)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Essai 1 — θm vs θe, aller et retour</a:t>
            </a:r>
          </a:p>
        </rich>
      </tx>
    </title>
    <plotArea>
      <scatterChart>
        <ser>
          <idx val="0"/>
          <order val="0"/>
          <tx>
            <strRef>
              <f>'Étapes 9 et 8'!N4</f>
            </strRef>
          </tx>
          <spPr>
            <a:ln w="9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'Étapes 9 et 8'!$M$5:$M$29</f>
            </numRef>
          </xVal>
          <yVal>
            <numRef>
              <f>'Étapes 9 et 8'!$N$5:$N$29</f>
            </numRef>
          </yVal>
        </ser>
        <ser>
          <idx val="1"/>
          <order val="1"/>
          <tx>
            <strRef>
              <f>'Étapes 9 et 8'!P4</f>
            </strRef>
          </tx>
          <spPr>
            <a:ln w="9000">
              <a:noFill/>
              <a:solidFill>
                <a:srgbClr val="C00000"/>
              </a:solidFill>
              <a:prstDash val="solid"/>
            </a:ln>
          </spPr>
          <marker>
            <symbol val="x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'Étapes 9 et 8'!$O$5:$O$28</f>
            </numRef>
          </xVal>
          <yVal>
            <numRef>
              <f>'Étapes 9 et 8'!$P$5:$P$28</f>
            </numRef>
          </yVal>
        </ser>
        <axId val="10"/>
        <axId val="20"/>
      </scatterChart>
      <valAx>
        <axId val="10"/>
        <scaling>
          <orientation val="minMax"/>
          <max val="72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θe imposé (° électriques)</a:t>
                </a:r>
              </a:p>
            </rich>
          </tx>
        </title>
        <majorTickMark val="none"/>
        <minorTickMark val="none"/>
        <crossAx val="20"/>
        <majorUnit val="9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θm lu (° mécaniques, relatif)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30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49</row>
      <rowOff>0</rowOff>
    </from>
    <ext cx="86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34" customWidth="1" min="4" max="4"/>
    <col width="60" customWidth="1" min="5" max="5"/>
    <col width="22" customWidth="1" min="6" max="6"/>
    <col width="22" customWidth="1" min="7" max="7"/>
  </cols>
  <sheetData>
    <row r="1">
      <c r="A1" s="1" t="inlineStr">
        <is>
          <t>M2 — essais sur carte du 2026-09-26</t>
        </is>
      </c>
    </row>
    <row r="2">
      <c r="A2" s="2" t="inlineStr">
        <is>
          <t>Contrôleur BLDC A2N · STM32G473 + DRV8304 · moteur de type gimbal · état de référence : STATUS.md (fait autorité)</t>
        </is>
      </c>
    </row>
    <row r="4">
      <c r="A4" s="3" t="inlineStr">
        <is>
          <t>Étape</t>
        </is>
      </c>
      <c r="B4" s="3" t="inlineStr">
        <is>
          <t>Intitulé</t>
        </is>
      </c>
      <c r="C4" s="3" t="inlineStr">
        <is>
          <t>État au 2026-09-26</t>
        </is>
      </c>
      <c r="D4" s="3" t="inlineStr">
        <is>
          <t>Critère (controller-2/AGENTS.md §5)</t>
        </is>
      </c>
      <c r="E4" s="3" t="inlineStr">
        <is>
          <t>Résultat chiffré</t>
        </is>
      </c>
      <c r="F4" s="3" t="inlineStr">
        <is>
          <t>Date(s)</t>
        </is>
      </c>
      <c r="G4" s="3" t="inlineStr">
        <is>
          <t>Onglet</t>
        </is>
      </c>
    </row>
    <row r="5" ht="64" customHeight="1">
      <c r="A5" s="4" t="n">
        <v>2</v>
      </c>
      <c r="B5" s="5" t="inlineStr">
        <is>
          <t>DRV8304 : SPI, registres, nFAULT</t>
        </is>
      </c>
      <c r="C5" s="6" t="inlineStr">
        <is>
          <t>Validée (revalidée après réparation du SPI)</t>
        </is>
      </c>
      <c r="D5" s="5" t="inlineStr">
        <is>
          <t>Écriture puis relecture cohérente d'un registre, fautes remontées</t>
        </is>
      </c>
      <c r="E5" s="5" t="inlineStr">
        <is>
          <t>DRV.PROBE passe ; registres relus aux valeurs de reset ; gain des amplis relu à 20 V/V ; une écriture (VREF_DIV, SPI_CAL) change la mesure analogique. Chemin nFAULT → coupure MOE non déclenché physiquement (décision utilisateur)</t>
        </is>
      </c>
      <c r="F5" s="5" t="inlineStr">
        <is>
          <t>2026-09-16 ; revalidée 2026-09-26</t>
        </is>
      </c>
      <c r="G5" s="5" t="inlineStr">
        <is>
          <t>—</t>
        </is>
      </c>
    </row>
    <row r="6" ht="64" customHeight="1">
      <c r="A6" s="4" t="n">
        <v>3</v>
      </c>
      <c r="B6" s="5" t="inlineStr">
        <is>
          <t>PWM à vide, haute impédance, temps mort</t>
        </is>
      </c>
      <c r="C6" s="6" t="inlineStr">
        <is>
          <t>Validée</t>
        </is>
      </c>
      <c r="D6" s="5" t="inlineStr">
        <is>
          <t>Formes correctes à l'oscilloscope, aucune conduction croisée</t>
        </is>
      </c>
      <c r="E6" s="5" t="inlineStr">
        <is>
          <t>3 bras complémentaires à 20 kHz, temps mort 500 ns aux deux fronts, 20/50/80 % suivis</t>
        </is>
      </c>
      <c r="F6" s="5" t="inlineStr">
        <is>
          <t>2026-09-18</t>
        </is>
      </c>
      <c r="G6" s="5" t="inlineStr">
        <is>
          <t>—</t>
        </is>
      </c>
    </row>
    <row r="7" ht="64" customHeight="1">
      <c r="A7" s="4" t="n">
        <v>4</v>
      </c>
      <c r="B7" s="5" t="inlineStr">
        <is>
          <t>ADC synchrone PWM, offsets des amplis</t>
        </is>
      </c>
      <c r="C7" s="6" t="inlineStr">
        <is>
          <t>Validée</t>
        </is>
      </c>
      <c r="D7" s="5" t="inlineStr">
        <is>
          <t>Offsets stables moteur à l'arrêt, bruit mesuré et documenté</t>
        </is>
      </c>
      <c r="E7" s="5" t="inlineStr">
        <is>
          <t>Zéro à 1–11 counts de la mi-échelle, répétable à ±1 count ; σ 1,4–2,0 counts (CAL levé). Depuis le 2026-09-26 : zéro mesuré hors CAL à chaque démarrage</t>
        </is>
      </c>
      <c r="F7" s="5" t="inlineStr">
        <is>
          <t>2026-09-21 ; zéro hors CAL 2026-09-26</t>
        </is>
      </c>
      <c r="G7" s="5" t="inlineStr">
        <is>
          <t>Zéro courant</t>
        </is>
      </c>
    </row>
    <row r="8" ht="64" customHeight="1">
      <c r="A8" s="4" t="n">
        <v>5</v>
      </c>
      <c r="B8" s="5" t="inlineStr">
        <is>
          <t>Mesure des courants sous rapport cyclique fixe</t>
        </is>
      </c>
      <c r="C8" s="7" t="inlineStr">
        <is>
          <t>En cours — somme tenue ; échelle absolue estimée à ±15 %</t>
        </is>
      </c>
      <c r="D8" s="5" t="inlineStr">
        <is>
          <t>Σ Ia+Ib+Ic ≈ 0 ; cohérence avec le courant d'alimentation</t>
        </is>
      </c>
      <c r="E8" s="5" t="inlineStr">
        <is>
          <t>Somme 4,5 % rms / 5,8 % pire après correction des gains (41,8 % / 74,8 % brute). Gains relatifs à A : B 0,656, C 1,195. Protections éprouvées : pic 162 counts pour une limite de 500. Courant d'alimentation cohérent sur paliers de 10 s : échelle ≈ 1,82 mA/count corrigé (bilan 0,283 W fourni / 0,28 W en I²R)</t>
        </is>
      </c>
      <c r="F8" s="5" t="inlineStr">
        <is>
          <t>2026-09-26</t>
        </is>
      </c>
      <c r="G8" s="5" t="inlineStr">
        <is>
          <t>Étape 5 — courants ; Capture 600-500-500 ; Gains ; Étape 7 — R, L, échelle</t>
        </is>
      </c>
    </row>
    <row r="9" ht="64" customHeight="1">
      <c r="A9" s="4" t="n">
        <v>6</v>
      </c>
      <c r="B9" s="5" t="inlineStr">
        <is>
          <t>AS5600 en DMA 1 MHz + extrapolation</t>
        </is>
      </c>
      <c r="C9" s="6" t="inlineStr">
        <is>
          <t>Verte à titre provisoire</t>
        </is>
      </c>
      <c r="D9" s="5" t="inlineStr">
        <is>
          <t>Angle monotone à la main, aucun blocage de l'ISR, retard total mesuré</t>
        </is>
      </c>
      <c r="E9" s="5" t="inlineStr">
        <is>
          <t>Transfert 57 µs, un échantillon toutes les 59 µs ; réserve aimant levée le 2026-09-26 (validité fondée sur la magnitude du champ)</t>
        </is>
      </c>
      <c r="F9" s="5" t="inlineStr">
        <is>
          <t>2026-09-21 ; réserve levée 2026-09-26</t>
        </is>
      </c>
      <c r="G9" s="5" t="inlineStr">
        <is>
          <t>—</t>
        </is>
      </c>
    </row>
    <row r="10" ht="64" customHeight="1">
      <c r="A10" s="4" t="n">
        <v>7</v>
      </c>
      <c r="B10" s="5" t="inlineStr">
        <is>
          <t>Identification R et L de phase</t>
        </is>
      </c>
      <c r="C10" s="7" t="inlineStr">
        <is>
          <t>En cours — valeurs obtenues, stockage NVM non implémenté</t>
        </is>
      </c>
      <c r="D10" s="5" t="inlineStr">
        <is>
          <t>Valeurs plausibles, stockées en NVM</t>
        </is>
      </c>
      <c r="E10" s="5" t="inlineStr">
        <is>
          <t>R ≈ 5,4 Ω entre A et (B∥C) (5,42 recalculé, 5,44 communiqué), ≈ 3,6 Ω par phase ; τ ≈ 0,3 ms ⇒ L ≈ 1,6 mH entre A et (B∥C), ≈ 1,1 mH par phase (±25 %). Échelle du courant ±15 %</t>
        </is>
      </c>
      <c r="F10" s="5" t="inlineStr">
        <is>
          <t>2026-09-26</t>
        </is>
      </c>
      <c r="G10" s="5" t="inlineStr">
        <is>
          <t>Étape 7 — R, L, échelle</t>
        </is>
      </c>
    </row>
    <row r="11" ht="64" customHeight="1">
      <c r="A11" s="4" t="n">
        <v>8</v>
      </c>
      <c r="B11" s="5" t="inlineStr">
        <is>
          <t>Alignement et offset électrique du capteur</t>
        </is>
      </c>
      <c r="C11" s="6" t="inlineStr">
        <is>
          <t>Validée</t>
        </is>
      </c>
      <c r="D11" s="5" t="inlineStr">
        <is>
          <t>Offset reproductible entre deux calibrations</t>
        </is>
      </c>
      <c r="E11" s="5" t="inlineStr">
        <is>
          <t>φ = 178,0° / 178,1° / 178,1° (essais 2 à 4, le dernier après redémarrage) : reproductible à 0,1° électrique</t>
        </is>
      </c>
      <c r="F11" s="5" t="inlineStr">
        <is>
          <t>2026-09-26</t>
        </is>
      </c>
      <c r="G11" s="5" t="inlineStr">
        <is>
          <t>Étapes 9 et 8</t>
        </is>
      </c>
    </row>
    <row r="12" ht="64" customHeight="1">
      <c r="A12" s="4" t="n">
        <v>9</v>
      </c>
      <c r="B12" s="5" t="inlineStr">
        <is>
          <t>Nombre de paires de pôles</t>
        </is>
      </c>
      <c r="C12" s="6" t="inlineStr">
        <is>
          <t>Validée</t>
        </is>
      </c>
      <c r="D12" s="5" t="inlineStr">
        <is>
          <t>Valeur entière stable sur plusieurs essais</t>
        </is>
      </c>
      <c r="E12" s="5" t="inlineStr">
        <is>
          <t>p = 6,960 / 6,966 / 6,965 / 6,962 → 7 paires sur 4 essais ; sens inverse</t>
        </is>
      </c>
      <c r="F12" s="5" t="inlineStr">
        <is>
          <t>2026-09-26</t>
        </is>
      </c>
      <c r="G12" s="5" t="inlineStr">
        <is>
          <t>Étapes 9 et 8</t>
        </is>
      </c>
    </row>
    <row r="14">
      <c r="A14" s="8" t="inlineStr">
        <is>
          <t>Réserves et points ouverts</t>
        </is>
      </c>
    </row>
    <row r="15" ht="44" customHeight="1">
      <c r="A15" s="9" t="inlineStr">
        <is>
          <t>•</t>
        </is>
      </c>
      <c r="B15" s="10" t="inlineStr">
        <is>
          <t>Échelle absolue du courant : estimée le 2026-09-26 par paliers de 10 s et ampèremètre, ≈ 1,82 mA par count corrigé (nominal 4,03), ±15 % (lecture « environ » de l'ampèremètre). Toutes les voies lisent trop haut (A ×1,86, B ×1,22, C ×2,2) : résistances parasites dans le chemin de mesure des shunts. La limite de 500 counts vaut donc ≈ 0,9 A réels et non 2 A — plus stricte, sans danger, non relevée faute de mesure plus précise.</t>
        </is>
      </c>
    </row>
    <row r="16" ht="44" customHeight="1">
      <c r="A16" s="9" t="inlineStr">
        <is>
          <t>•</t>
        </is>
      </c>
      <c r="B16" s="10" t="inlineStr">
        <is>
          <t>Critère « cohérence avec le courant d'alimentation » de l'étape 5 : tenu par le modèle I_alim = écart effectif × Ia + Ig et le bilan de puissance, mais sur une seule lecture approximative par palier — à confirmer par une mesure plus précise.</t>
        </is>
      </c>
    </row>
    <row r="17" ht="44" customHeight="1">
      <c r="A17" s="9" t="inlineStr">
        <is>
          <t>•</t>
        </is>
      </c>
      <c r="B17" s="10" t="inlineStr">
        <is>
          <t>Zone morte à 2048 : au repos aucune voie ne descend sous la mi-échelle ; 95,2 % des échantillons de C et 11,7 % de B valent exactement 2048. Hypothèse non vérifiée : écrêtage de la sortie de l'ampli du DRV8304 à la référence. À comprendre avant d'asservir de petits courants.</t>
        </is>
      </c>
    </row>
    <row r="18" ht="44" customHeight="1">
      <c r="A18" s="9" t="inlineStr">
        <is>
          <t>•</t>
        </is>
      </c>
      <c r="B18" s="10" t="inlineStr">
        <is>
          <t>Étape 7 : R et L obtenus, mais ni R, L, φ ni p ne sont stockés dans le firmware (mémoire non volatile pas encore implémentée).</t>
        </is>
      </c>
    </row>
    <row r="19" ht="44" customHeight="1">
      <c r="A19" s="9" t="inlineStr">
        <is>
          <t>•</t>
        </is>
      </c>
      <c r="B19" s="10" t="inlineStr">
        <is>
          <t>Chemin nFAULT → coupure MOE non déclenché physiquement (décision du 2026-09-26) ; watchdog IWDG reporté.</t>
        </is>
      </c>
    </row>
    <row r="20" ht="44" customHeight="1">
      <c r="A20" s="9" t="inlineStr">
        <is>
          <t>•</t>
        </is>
      </c>
      <c r="B20" s="10" t="inlineStr">
        <is>
          <t>Incohérences relevées entre les données brutes et STATUS.md : voir l'onglet « Méthode », section « Points de vigilance ».</t>
        </is>
      </c>
    </row>
  </sheetData>
  <mergeCells count="6">
    <mergeCell ref="B16:G16"/>
    <mergeCell ref="B19:G19"/>
    <mergeCell ref="B20:G20"/>
    <mergeCell ref="B17:G17"/>
    <mergeCell ref="B18:G18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44" customWidth="1" min="3" max="3"/>
    <col width="18" customWidth="1" min="4" max="4"/>
  </cols>
  <sheetData>
    <row r="1">
      <c r="A1" s="1" t="inlineStr">
        <is>
          <t>Conditions d'essai — rails, boucle et limites</t>
        </is>
      </c>
    </row>
    <row r="2">
      <c r="A2" s="2" t="inlineStr">
        <is>
          <t>Relevé console du 2026-09-26 (valeurs absentes des fichiers bruts)</t>
        </is>
      </c>
    </row>
    <row r="4">
      <c r="A4" s="3" t="inlineStr">
        <is>
          <t>Grandeur</t>
        </is>
      </c>
      <c r="B4" s="3" t="inlineStr">
        <is>
          <t>Valeur</t>
        </is>
      </c>
      <c r="C4" s="3" t="inlineStr">
        <is>
          <t>Unité</t>
        </is>
      </c>
      <c r="D4" s="3" t="inlineStr">
        <is>
          <t>Source</t>
        </is>
      </c>
    </row>
    <row r="5">
      <c r="A5" s="11" t="inlineStr">
        <is>
          <t>Tension d'entrée</t>
        </is>
      </c>
      <c r="B5" s="12" t="n">
        <v>15.18</v>
      </c>
      <c r="C5" s="11" t="inlineStr">
        <is>
          <t>V</t>
        </is>
      </c>
      <c r="D5" s="11" t="inlineStr">
        <is>
          <t>relevé console</t>
        </is>
      </c>
    </row>
    <row r="6">
      <c r="A6" s="11" t="inlineStr">
        <is>
          <t>Rail moteur</t>
        </is>
      </c>
      <c r="B6" s="12" t="n">
        <v>14.88</v>
      </c>
      <c r="C6" s="11" t="inlineStr">
        <is>
          <t>V</t>
        </is>
      </c>
      <c r="D6" s="11" t="inlineStr">
        <is>
          <t>relevé console</t>
        </is>
      </c>
    </row>
    <row r="7">
      <c r="A7" s="11" t="inlineStr">
        <is>
          <t>Rail 5 V</t>
        </is>
      </c>
      <c r="B7" s="12" t="n">
        <v>4.93</v>
      </c>
      <c r="C7" s="11" t="inlineStr">
        <is>
          <t>V</t>
        </is>
      </c>
      <c r="D7" s="11" t="inlineStr">
        <is>
          <t>relevé console</t>
        </is>
      </c>
    </row>
    <row r="8">
      <c r="A8" s="11" t="inlineStr">
        <is>
          <t>Rail 3,3 V</t>
        </is>
      </c>
      <c r="B8" s="12" t="n">
        <v>3.31</v>
      </c>
      <c r="C8" s="11" t="inlineStr">
        <is>
          <t>V</t>
        </is>
      </c>
      <c r="D8" s="11" t="inlineStr">
        <is>
          <t>relevé console</t>
        </is>
      </c>
    </row>
    <row r="9">
      <c r="A9" s="11" t="inlineStr">
        <is>
          <t>VREF</t>
        </is>
      </c>
      <c r="B9" s="13" t="n">
        <v>3.307</v>
      </c>
      <c r="C9" s="11" t="inlineStr">
        <is>
          <t>V</t>
        </is>
      </c>
      <c r="D9" s="11" t="inlineStr">
        <is>
          <t>relevé console</t>
        </is>
      </c>
    </row>
    <row r="10">
      <c r="A10" s="11" t="inlineStr">
        <is>
          <t>Température MCU (min)</t>
        </is>
      </c>
      <c r="B10" s="14" t="n">
        <v>32</v>
      </c>
      <c r="C10" s="11" t="inlineStr">
        <is>
          <t>°C</t>
        </is>
      </c>
      <c r="D10" s="11" t="inlineStr">
        <is>
          <t>relevé console</t>
        </is>
      </c>
    </row>
    <row r="11">
      <c r="A11" s="11" t="inlineStr">
        <is>
          <t>Température MCU (max)</t>
        </is>
      </c>
      <c r="B11" s="14" t="n">
        <v>37</v>
      </c>
      <c r="C11" s="11" t="inlineStr">
        <is>
          <t>°C</t>
        </is>
      </c>
      <c r="D11" s="11" t="inlineStr">
        <is>
          <t>relevé console</t>
        </is>
      </c>
    </row>
    <row r="12">
      <c r="A12" s="11" t="inlineStr">
        <is>
          <t>Fréquence de boucle</t>
        </is>
      </c>
      <c r="B12" s="13" t="n">
        <v>20</v>
      </c>
      <c r="C12" s="11" t="inlineStr">
        <is>
          <t>kHz</t>
        </is>
      </c>
      <c r="D12" s="11" t="inlineStr">
        <is>
          <t>relevé console</t>
        </is>
      </c>
    </row>
    <row r="13">
      <c r="A13" s="11" t="inlineStr">
        <is>
          <t>Durée ISR typique</t>
        </is>
      </c>
      <c r="B13" s="12" t="n">
        <v>3.57</v>
      </c>
      <c r="C13" s="11" t="inlineStr">
        <is>
          <t>µs</t>
        </is>
      </c>
      <c r="D13" s="11" t="inlineStr">
        <is>
          <t>relevé console</t>
        </is>
      </c>
    </row>
    <row r="14">
      <c r="A14" s="11" t="inlineStr">
        <is>
          <t>Durée ISR pire</t>
        </is>
      </c>
      <c r="B14" s="12" t="n">
        <v>6.09</v>
      </c>
      <c r="C14" s="11" t="inlineStr">
        <is>
          <t>µs</t>
        </is>
      </c>
      <c r="D14" s="11" t="inlineStr">
        <is>
          <t>relevé console</t>
        </is>
      </c>
    </row>
    <row r="15">
      <c r="A15" s="11" t="inlineStr">
        <is>
          <t>Charge ISR au pire (durée pire / période 50 µs)</t>
        </is>
      </c>
      <c r="B15" s="15">
        <f>B14/(1000/B12)</f>
        <v/>
      </c>
      <c r="C15" s="11" t="inlineStr">
        <is>
          <t>—</t>
        </is>
      </c>
      <c r="D15" s="11" t="inlineStr">
        <is>
          <t>calcul</t>
        </is>
      </c>
    </row>
    <row r="16">
      <c r="A16" s="11" t="inlineStr">
        <is>
          <t>Télémétrie</t>
        </is>
      </c>
      <c r="B16" s="14" t="n">
        <v>500</v>
      </c>
      <c r="C16" s="11" t="inlineStr">
        <is>
          <t>Hz (sans trou)</t>
        </is>
      </c>
      <c r="D16" s="11" t="inlineStr">
        <is>
          <t>relevé console</t>
        </is>
      </c>
    </row>
    <row r="17">
      <c r="A17" s="11" t="inlineStr">
        <is>
          <t>Scope : profondeur</t>
        </is>
      </c>
      <c r="B17" s="14" t="n">
        <v>2048</v>
      </c>
      <c r="C17" s="11" t="inlineStr">
        <is>
          <t>points</t>
        </is>
      </c>
      <c r="D17" s="11" t="inlineStr">
        <is>
          <t>relevé console</t>
        </is>
      </c>
    </row>
    <row r="18">
      <c r="A18" s="11" t="inlineStr">
        <is>
          <t>Scope : signaux</t>
        </is>
      </c>
      <c r="B18" s="14" t="n">
        <v>4</v>
      </c>
      <c r="C18" s="11" t="inlineStr">
        <is>
          <t>signaux</t>
        </is>
      </c>
      <c r="D18" s="11" t="inlineStr">
        <is>
          <t>relevé console</t>
        </is>
      </c>
    </row>
    <row r="19">
      <c r="A19" s="11" t="inlineStr">
        <is>
          <t>Limite de surintensité</t>
        </is>
      </c>
      <c r="B19" s="14" t="n">
        <v>500</v>
      </c>
      <c r="C19" s="11" t="inlineStr">
        <is>
          <t>counts corrigés (échelle voie C)</t>
        </is>
      </c>
      <c r="D19" s="11" t="inlineStr">
        <is>
          <t>relevé console</t>
        </is>
      </c>
    </row>
    <row r="20">
      <c r="A20" s="11" t="inlineStr">
        <is>
          <t>Rapport cyclique min</t>
        </is>
      </c>
      <c r="B20" s="14" t="n">
        <v>0</v>
      </c>
      <c r="C20" s="11" t="inlineStr">
        <is>
          <t>‰</t>
        </is>
      </c>
      <c r="D20" s="11" t="inlineStr">
        <is>
          <t>relevé console</t>
        </is>
      </c>
    </row>
    <row r="21">
      <c r="A21" s="11" t="inlineStr">
        <is>
          <t>Rapport cyclique max</t>
        </is>
      </c>
      <c r="B21" s="14" t="n">
        <v>800</v>
      </c>
      <c r="C21" s="11" t="inlineStr">
        <is>
          <t>‰</t>
        </is>
      </c>
      <c r="D21" s="11" t="inlineStr">
        <is>
          <t>relevé console</t>
        </is>
      </c>
    </row>
    <row r="22">
      <c r="A22" s="11" t="inlineStr">
        <is>
          <t>Écart max entre bras</t>
        </is>
      </c>
      <c r="B22" s="14" t="n">
        <v>100</v>
      </c>
      <c r="C22" s="11" t="inlineStr">
        <is>
          <t>‰</t>
        </is>
      </c>
      <c r="D22" s="11" t="inlineStr">
        <is>
          <t>relevé console</t>
        </is>
      </c>
    </row>
    <row r="23">
      <c r="A23" s="11" t="inlineStr">
        <is>
          <t>Durée d'impulsion min</t>
        </is>
      </c>
      <c r="B23" s="14" t="n">
        <v>1</v>
      </c>
      <c r="C23" s="11" t="inlineStr">
        <is>
          <t>ms</t>
        </is>
      </c>
      <c r="D23" s="11" t="inlineStr">
        <is>
          <t>relevé console</t>
        </is>
      </c>
    </row>
    <row r="24">
      <c r="A24" s="11" t="inlineStr">
        <is>
          <t>Durée d'impulsion max</t>
        </is>
      </c>
      <c r="B24" s="14" t="n">
        <v>200</v>
      </c>
      <c r="C24" s="11" t="inlineStr">
        <is>
          <t>ms</t>
        </is>
      </c>
      <c r="D24" s="11" t="inlineStr">
        <is>
          <t>relevé console</t>
        </is>
      </c>
    </row>
    <row r="25">
      <c r="A25" s="11" t="inlineStr">
        <is>
          <t>Échelle nominale du courant (20 V/V × 10 mΩ)</t>
        </is>
      </c>
      <c r="B25" s="12" t="n">
        <v>4.03</v>
      </c>
      <c r="C25" s="11" t="inlineStr">
        <is>
          <t>mA / count</t>
        </is>
      </c>
      <c r="D25" s="11" t="inlineStr">
        <is>
          <t>relevé console</t>
        </is>
      </c>
    </row>
    <row r="26">
      <c r="A26" s="11" t="inlineStr">
        <is>
          <t>Limite de surintensité à l'échelle nominale (majorant d'origine)</t>
        </is>
      </c>
      <c r="B26" s="16">
        <f>B19*B25/1000</f>
        <v/>
      </c>
      <c r="C26" s="11" t="inlineStr">
        <is>
          <t>A</t>
        </is>
      </c>
      <c r="D26" s="11" t="inlineStr">
        <is>
          <t>calcul</t>
        </is>
      </c>
    </row>
    <row r="27">
      <c r="A27" s="11" t="inlineStr">
        <is>
          <t>Résistance A → (B∥C), estimation initiale (remplacée à l'étape 7 par ≈ 5,4 Ω)</t>
        </is>
      </c>
      <c r="B27" s="17" t="n">
        <v>7</v>
      </c>
      <c r="C27" s="11" t="inlineStr">
        <is>
          <t>Ω (≈)</t>
        </is>
      </c>
      <c r="D27" s="11" t="inlineStr">
        <is>
          <t>relevé console</t>
        </is>
      </c>
    </row>
    <row r="28">
      <c r="A28" s="11" t="inlineStr">
        <is>
          <t>Résistance par phase, estimation initiale (× 2/3)</t>
        </is>
      </c>
      <c r="B28" s="18">
        <f>B27*2/3</f>
        <v/>
      </c>
      <c r="C28" s="11" t="inlineStr">
        <is>
          <t>Ω (≈)</t>
        </is>
      </c>
      <c r="D28" s="11" t="inlineStr">
        <is>
          <t>calcul</t>
        </is>
      </c>
    </row>
    <row r="29">
      <c r="A29" s="11" t="inlineStr">
        <is>
          <t>Limite de surintensité en courant réel (échelle de l'étape 7)</t>
        </is>
      </c>
      <c r="B29" s="16">
        <f>'Étape 7 — R, L, échelle'!F43</f>
        <v/>
      </c>
      <c r="C29" s="11" t="inlineStr">
        <is>
          <t>A (±15 %)</t>
        </is>
      </c>
      <c r="D29" s="11" t="inlineStr">
        <is>
          <t>calcul</t>
        </is>
      </c>
    </row>
    <row r="31">
      <c r="A31" s="2" t="n"/>
    </row>
    <row r="32">
      <c r="A32" t="inlineStr">
        <is>
          <t>Police bleue : valeur saisie (relevé console) ; police noire : calcul.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50" customWidth="1" min="19" max="19"/>
  </cols>
  <sheetData>
    <row r="1">
      <c r="A1" s="1" t="inlineStr">
        <is>
          <t>Étape 5 — deltas de courant par impulsion de 50 ms</t>
        </is>
      </c>
    </row>
    <row r="2">
      <c r="A2" s="2" t="inlineStr">
        <is>
          <t>Delta = moyenne 30–50 ms − moyenne 60–100 ms (repos), par voie ; counts centrés ; mA à l'échelle nominale (Conditions!B25), SANS correction de gain</t>
        </is>
      </c>
    </row>
    <row r="4" ht="42" customHeight="1">
      <c r="A4" s="3" t="inlineStr">
        <is>
          <t>Série</t>
        </is>
      </c>
      <c r="B4" s="3" t="inlineStr">
        <is>
          <t>Échantillonnage ADC</t>
        </is>
      </c>
      <c r="C4" s="3" t="inlineStr">
        <is>
          <t>Horodatage</t>
        </is>
      </c>
      <c r="D4" s="3" t="inlineStr">
        <is>
          <t>Duty A (‰)</t>
        </is>
      </c>
      <c r="E4" s="3" t="inlineStr">
        <is>
          <t>Duty B (‰)</t>
        </is>
      </c>
      <c r="F4" s="3" t="inlineStr">
        <is>
          <t>Duty C (‰)</t>
        </is>
      </c>
      <c r="G4" s="3" t="inlineStr">
        <is>
          <t>Écart (‰)</t>
        </is>
      </c>
      <c r="H4" s="3" t="inlineStr">
        <is>
          <t>Phase dominante</t>
        </is>
      </c>
      <c r="I4" s="3" t="inlineStr">
        <is>
          <t>dA (counts)</t>
        </is>
      </c>
      <c r="J4" s="3" t="inlineStr">
        <is>
          <t>dB (counts)</t>
        </is>
      </c>
      <c r="K4" s="3" t="inlineStr">
        <is>
          <t>dC (counts)</t>
        </is>
      </c>
      <c r="L4" s="3" t="inlineStr">
        <is>
          <t>Σ (counts)</t>
        </is>
      </c>
      <c r="M4" s="3" t="inlineStr">
        <is>
          <t>Erreur de somme Σ/max|d|</t>
        </is>
      </c>
      <c r="N4" s="3" t="inlineStr">
        <is>
          <t>dA (mA nom.)</t>
        </is>
      </c>
      <c r="O4" s="3" t="inlineStr">
        <is>
          <t>dB (mA nom.)</t>
        </is>
      </c>
      <c r="P4" s="3" t="inlineStr">
        <is>
          <t>dC (mA nom.)</t>
        </is>
      </c>
      <c r="Q4" s="3" t="inlineStr">
        <is>
          <t>Excursion rotor (rad)</t>
        </is>
      </c>
      <c r="R4" s="3" t="inlineStr">
        <is>
          <t>Pic |i| (counts)</t>
        </is>
      </c>
      <c r="S4" s="3" t="inlineStr">
        <is>
          <t>Retenu / remarque</t>
        </is>
      </c>
    </row>
    <row r="5">
      <c r="A5" s="19" t="n">
        <v>1</v>
      </c>
      <c r="B5" s="20" t="inlineStr">
        <is>
          <t>6,5 cycles (180 ns)</t>
        </is>
      </c>
      <c r="C5" s="19" t="n">
        <v>1790433145270</v>
      </c>
      <c r="D5" s="19" t="n">
        <v>500</v>
      </c>
      <c r="E5" s="19" t="n">
        <v>500</v>
      </c>
      <c r="F5" s="19" t="n">
        <v>500</v>
      </c>
      <c r="G5" s="19" t="n">
        <v>0</v>
      </c>
      <c r="H5" s="20" t="inlineStr">
        <is>
          <t>—</t>
        </is>
      </c>
      <c r="I5" s="21" t="n">
        <v>-0.87</v>
      </c>
      <c r="J5" s="21" t="n">
        <v>-0.33</v>
      </c>
      <c r="K5" s="21" t="n">
        <v>0.02</v>
      </c>
      <c r="L5" s="21">
        <f>I5+J5+K5</f>
        <v/>
      </c>
      <c r="M5" s="22">
        <f>IF(MAX(ABS(I5),ABS(J5),ABS(K5))&lt;5,"s.o.",L5/MAX(ABS(I5),ABS(J5),ABS(K5)))</f>
        <v/>
      </c>
      <c r="N5" s="23">
        <f>I5*Conditions!$B$25</f>
        <v/>
      </c>
      <c r="O5" s="23">
        <f>J5*Conditions!$B$25</f>
        <v/>
      </c>
      <c r="P5" s="23">
        <f>K5*Conditions!$B$25</f>
        <v/>
      </c>
      <c r="Q5" s="24" t="n">
        <v>0.03</v>
      </c>
      <c r="R5" s="23" t="n">
        <v>73</v>
      </c>
      <c r="S5" s="25" t="inlineStr">
        <is>
          <t>Écart nul : erreur de somme sans objet (dénominateur ≈ 1 count)</t>
        </is>
      </c>
    </row>
    <row r="6">
      <c r="A6" s="26" t="n">
        <v>1</v>
      </c>
      <c r="B6" s="4" t="inlineStr">
        <is>
          <t>6,5 cycles (180 ns)</t>
        </is>
      </c>
      <c r="C6" s="26" t="n">
        <v>1790433210889</v>
      </c>
      <c r="D6" s="26" t="n">
        <v>510</v>
      </c>
      <c r="E6" s="26" t="n">
        <v>500</v>
      </c>
      <c r="F6" s="26" t="n">
        <v>500</v>
      </c>
      <c r="G6" s="26" t="n">
        <v>10</v>
      </c>
      <c r="H6" s="4" t="inlineStr">
        <is>
          <t>A+</t>
        </is>
      </c>
      <c r="I6" s="18" t="n">
        <v>5.53</v>
      </c>
      <c r="J6" s="18" t="n">
        <v>-2.32</v>
      </c>
      <c r="K6" s="18" t="n">
        <v>-4.28</v>
      </c>
      <c r="L6" s="18">
        <f>I6+J6+K6</f>
        <v/>
      </c>
      <c r="M6" s="15">
        <f>IF(MAX(ABS(I6),ABS(J6),ABS(K6))&lt;5,"s.o.",L6/MAX(ABS(I6),ABS(J6),ABS(K6)))</f>
        <v/>
      </c>
      <c r="N6" s="27">
        <f>I6*Conditions!$B$25</f>
        <v/>
      </c>
      <c r="O6" s="27">
        <f>J6*Conditions!$B$25</f>
        <v/>
      </c>
      <c r="P6" s="27">
        <f>K6*Conditions!$B$25</f>
        <v/>
      </c>
      <c r="Q6" s="28" t="n">
        <v>0.02</v>
      </c>
      <c r="R6" s="27" t="n">
        <v>64</v>
      </c>
      <c r="S6" s="5" t="inlineStr">
        <is>
          <t>Deltas de quelques counts : erreur dominée par le bruit</t>
        </is>
      </c>
    </row>
    <row r="7">
      <c r="A7" s="26" t="n">
        <v>1</v>
      </c>
      <c r="B7" s="4" t="inlineStr">
        <is>
          <t>6,5 cycles (180 ns)</t>
        </is>
      </c>
      <c r="C7" s="26" t="n">
        <v>1790433242201</v>
      </c>
      <c r="D7" s="26" t="n">
        <v>530</v>
      </c>
      <c r="E7" s="26" t="n">
        <v>500</v>
      </c>
      <c r="F7" s="26" t="n">
        <v>500</v>
      </c>
      <c r="G7" s="26" t="n">
        <v>30</v>
      </c>
      <c r="H7" s="4" t="inlineStr">
        <is>
          <t>A+</t>
        </is>
      </c>
      <c r="I7" s="18" t="n">
        <v>18.13</v>
      </c>
      <c r="J7" s="18" t="n">
        <v>-6.13</v>
      </c>
      <c r="K7" s="18" t="n">
        <v>-10.34</v>
      </c>
      <c r="L7" s="18">
        <f>I7+J7+K7</f>
        <v/>
      </c>
      <c r="M7" s="15">
        <f>IF(MAX(ABS(I7),ABS(J7),ABS(K7))&lt;5,"s.o.",L7/MAX(ABS(I7),ABS(J7),ABS(K7)))</f>
        <v/>
      </c>
      <c r="N7" s="27">
        <f>I7*Conditions!$B$25</f>
        <v/>
      </c>
      <c r="O7" s="27">
        <f>J7*Conditions!$B$25</f>
        <v/>
      </c>
      <c r="P7" s="27">
        <f>K7*Conditions!$B$25</f>
        <v/>
      </c>
      <c r="Q7" s="28" t="n">
        <v>0.082</v>
      </c>
      <c r="R7" s="27" t="n">
        <v>72</v>
      </c>
      <c r="S7" s="5" t="inlineStr"/>
    </row>
    <row r="8">
      <c r="A8" s="26" t="n">
        <v>1</v>
      </c>
      <c r="B8" s="4" t="inlineStr">
        <is>
          <t>6,5 cycles (180 ns)</t>
        </is>
      </c>
      <c r="C8" s="26" t="n">
        <v>1790433262784</v>
      </c>
      <c r="D8" s="26" t="n">
        <v>550</v>
      </c>
      <c r="E8" s="26" t="n">
        <v>500</v>
      </c>
      <c r="F8" s="26" t="n">
        <v>500</v>
      </c>
      <c r="G8" s="26" t="n">
        <v>50</v>
      </c>
      <c r="H8" s="4" t="inlineStr">
        <is>
          <t>A+</t>
        </is>
      </c>
      <c r="I8" s="18" t="n">
        <v>39.11</v>
      </c>
      <c r="J8" s="18" t="n">
        <v>-12.41</v>
      </c>
      <c r="K8" s="18" t="n">
        <v>-10.67</v>
      </c>
      <c r="L8" s="18">
        <f>I8+J8+K8</f>
        <v/>
      </c>
      <c r="M8" s="15">
        <f>IF(MAX(ABS(I8),ABS(J8),ABS(K8))&lt;5,"s.o.",L8/MAX(ABS(I8),ABS(J8),ABS(K8)))</f>
        <v/>
      </c>
      <c r="N8" s="27">
        <f>I8*Conditions!$B$25</f>
        <v/>
      </c>
      <c r="O8" s="27">
        <f>J8*Conditions!$B$25</f>
        <v/>
      </c>
      <c r="P8" s="27">
        <f>K8*Conditions!$B$25</f>
        <v/>
      </c>
      <c r="Q8" s="28" t="n">
        <v>0.146</v>
      </c>
      <c r="R8" s="27" t="n">
        <v>89</v>
      </c>
      <c r="S8" s="5" t="inlineStr">
        <is>
          <t>Rotor en mouvement (0,15 rad) pendant l'impulsion — cause probable de l'erreur élevée</t>
        </is>
      </c>
    </row>
    <row r="9">
      <c r="A9" s="26" t="n">
        <v>1</v>
      </c>
      <c r="B9" s="4" t="inlineStr">
        <is>
          <t>6,5 cycles (180 ns)</t>
        </is>
      </c>
      <c r="C9" s="26" t="n">
        <v>1790433265615</v>
      </c>
      <c r="D9" s="26" t="n">
        <v>570</v>
      </c>
      <c r="E9" s="26" t="n">
        <v>500</v>
      </c>
      <c r="F9" s="26" t="n">
        <v>500</v>
      </c>
      <c r="G9" s="26" t="n">
        <v>70</v>
      </c>
      <c r="H9" s="4" t="inlineStr">
        <is>
          <t>A+</t>
        </is>
      </c>
      <c r="I9" s="18" t="n">
        <v>67.38</v>
      </c>
      <c r="J9" s="18" t="n">
        <v>-19.69</v>
      </c>
      <c r="K9" s="18" t="n">
        <v>-37.41</v>
      </c>
      <c r="L9" s="18">
        <f>I9+J9+K9</f>
        <v/>
      </c>
      <c r="M9" s="15">
        <f>IF(MAX(ABS(I9),ABS(J9),ABS(K9))&lt;5,"s.o.",L9/MAX(ABS(I9),ABS(J9),ABS(K9)))</f>
        <v/>
      </c>
      <c r="N9" s="27">
        <f>I9*Conditions!$B$25</f>
        <v/>
      </c>
      <c r="O9" s="27">
        <f>J9*Conditions!$B$25</f>
        <v/>
      </c>
      <c r="P9" s="27">
        <f>K9*Conditions!$B$25</f>
        <v/>
      </c>
      <c r="Q9" s="28" t="n">
        <v>0.019</v>
      </c>
      <c r="R9" s="27" t="n">
        <v>126</v>
      </c>
      <c r="S9" s="5" t="inlineStr"/>
    </row>
    <row r="10">
      <c r="A10" s="26" t="n">
        <v>1</v>
      </c>
      <c r="B10" s="4" t="inlineStr">
        <is>
          <t>6,5 cycles (180 ns)</t>
        </is>
      </c>
      <c r="C10" s="26" t="n">
        <v>1790433268460</v>
      </c>
      <c r="D10" s="26" t="n">
        <v>600</v>
      </c>
      <c r="E10" s="26" t="n">
        <v>500</v>
      </c>
      <c r="F10" s="26" t="n">
        <v>500</v>
      </c>
      <c r="G10" s="26" t="n">
        <v>100</v>
      </c>
      <c r="H10" s="4" t="inlineStr">
        <is>
          <t>A+</t>
        </is>
      </c>
      <c r="I10" s="18" t="n">
        <v>106.78</v>
      </c>
      <c r="J10" s="18" t="n">
        <v>-21.11</v>
      </c>
      <c r="K10" s="18" t="n">
        <v>-60.21</v>
      </c>
      <c r="L10" s="18">
        <f>I10+J10+K10</f>
        <v/>
      </c>
      <c r="M10" s="15">
        <f>IF(MAX(ABS(I10),ABS(J10),ABS(K10))&lt;5,"s.o.",L10/MAX(ABS(I10),ABS(J10),ABS(K10)))</f>
        <v/>
      </c>
      <c r="N10" s="27">
        <f>I10*Conditions!$B$25</f>
        <v/>
      </c>
      <c r="O10" s="27">
        <f>J10*Conditions!$B$25</f>
        <v/>
      </c>
      <c r="P10" s="27">
        <f>K10*Conditions!$B$25</f>
        <v/>
      </c>
      <c r="Q10" s="28" t="n">
        <v>0.019</v>
      </c>
      <c r="R10" s="27" t="n">
        <v>162</v>
      </c>
      <c r="S10" s="5" t="inlineStr"/>
    </row>
    <row r="11">
      <c r="A11" s="19" t="n">
        <v>1</v>
      </c>
      <c r="B11" s="20" t="inlineStr">
        <is>
          <t>6,5 cycles (180 ns)</t>
        </is>
      </c>
      <c r="C11" s="19" t="n">
        <v>1790433310434</v>
      </c>
      <c r="D11" s="19" t="n">
        <v>500</v>
      </c>
      <c r="E11" s="19" t="n">
        <v>600</v>
      </c>
      <c r="F11" s="19" t="n">
        <v>500</v>
      </c>
      <c r="G11" s="19" t="n">
        <v>100</v>
      </c>
      <c r="H11" s="20" t="inlineStr">
        <is>
          <t>B+</t>
        </is>
      </c>
      <c r="I11" s="21" t="n">
        <v>-58.9</v>
      </c>
      <c r="J11" s="21" t="n">
        <v>73.67</v>
      </c>
      <c r="K11" s="21" t="n">
        <v>-41.56</v>
      </c>
      <c r="L11" s="21">
        <f>I11+J11+K11</f>
        <v/>
      </c>
      <c r="M11" s="22">
        <f>IF(MAX(ABS(I11),ABS(J11),ABS(K11))&lt;5,"s.o.",L11/MAX(ABS(I11),ABS(J11),ABS(K11)))</f>
        <v/>
      </c>
      <c r="N11" s="23">
        <f>I11*Conditions!$B$25</f>
        <v/>
      </c>
      <c r="O11" s="23">
        <f>J11*Conditions!$B$25</f>
        <v/>
      </c>
      <c r="P11" s="23">
        <f>K11*Conditions!$B$25</f>
        <v/>
      </c>
      <c r="Q11" s="24" t="n">
        <v>0.424</v>
      </c>
      <c r="R11" s="23" t="n">
        <v>117</v>
      </c>
      <c r="S11" s="25" t="inlineStr">
        <is>
          <t>Rotor en mouvement pendant l'impulsion — non stationnaire, écarté</t>
        </is>
      </c>
    </row>
    <row r="12">
      <c r="A12" s="19" t="n">
        <v>1</v>
      </c>
      <c r="B12" s="20" t="inlineStr">
        <is>
          <t>6,5 cycles (180 ns)</t>
        </is>
      </c>
      <c r="C12" s="19" t="n">
        <v>1790433312256</v>
      </c>
      <c r="D12" s="19" t="n">
        <v>500</v>
      </c>
      <c r="E12" s="19" t="n">
        <v>500</v>
      </c>
      <c r="F12" s="19" t="n">
        <v>600</v>
      </c>
      <c r="G12" s="19" t="n">
        <v>100</v>
      </c>
      <c r="H12" s="20" t="inlineStr">
        <is>
          <t>C+</t>
        </is>
      </c>
      <c r="I12" s="21" t="n">
        <v>-30.44</v>
      </c>
      <c r="J12" s="21" t="n">
        <v>-21.89</v>
      </c>
      <c r="K12" s="21" t="n">
        <v>117.86</v>
      </c>
      <c r="L12" s="21">
        <f>I12+J12+K12</f>
        <v/>
      </c>
      <c r="M12" s="22">
        <f>IF(MAX(ABS(I12),ABS(J12),ABS(K12))&lt;5,"s.o.",L12/MAX(ABS(I12),ABS(J12),ABS(K12)))</f>
        <v/>
      </c>
      <c r="N12" s="23">
        <f>I12*Conditions!$B$25</f>
        <v/>
      </c>
      <c r="O12" s="23">
        <f>J12*Conditions!$B$25</f>
        <v/>
      </c>
      <c r="P12" s="23">
        <f>K12*Conditions!$B$25</f>
        <v/>
      </c>
      <c r="Q12" s="24" t="n">
        <v>0.298</v>
      </c>
      <c r="R12" s="23" t="n">
        <v>158</v>
      </c>
      <c r="S12" s="25" t="inlineStr">
        <is>
          <t>Rotor en mouvement pendant l'impulsion — non stationnaire, écarté</t>
        </is>
      </c>
    </row>
    <row r="13">
      <c r="A13" s="19" t="n">
        <v>2</v>
      </c>
      <c r="B13" s="20" t="inlineStr">
        <is>
          <t>47,5 cycles (1,32 µs)</t>
        </is>
      </c>
      <c r="C13" s="19" t="n">
        <v>1790433423381</v>
      </c>
      <c r="D13" s="19" t="n">
        <v>600</v>
      </c>
      <c r="E13" s="19" t="n">
        <v>500</v>
      </c>
      <c r="F13" s="19" t="n">
        <v>500</v>
      </c>
      <c r="G13" s="19" t="n">
        <v>100</v>
      </c>
      <c r="H13" s="20" t="inlineStr">
        <is>
          <t>A+</t>
        </is>
      </c>
      <c r="I13" s="21" t="n">
        <v>101.4</v>
      </c>
      <c r="J13" s="21" t="n">
        <v>-18.68</v>
      </c>
      <c r="K13" s="21" t="n">
        <v>-74.38</v>
      </c>
      <c r="L13" s="21">
        <f>I13+J13+K13</f>
        <v/>
      </c>
      <c r="M13" s="22">
        <f>IF(MAX(ABS(I13),ABS(J13),ABS(K13))&lt;5,"s.o.",L13/MAX(ABS(I13),ABS(J13),ABS(K13)))</f>
        <v/>
      </c>
      <c r="N13" s="23">
        <f>I13*Conditions!$B$25</f>
        <v/>
      </c>
      <c r="O13" s="23">
        <f>J13*Conditions!$B$25</f>
        <v/>
      </c>
      <c r="P13" s="23">
        <f>K13*Conditions!$B$25</f>
        <v/>
      </c>
      <c r="Q13" s="24" t="n">
        <v>0.289</v>
      </c>
      <c r="R13" s="23" t="n">
        <v>144</v>
      </c>
      <c r="S13" s="25" t="inlineStr">
        <is>
          <t>1re impulsion : alignement du rotor, non retenue</t>
        </is>
      </c>
    </row>
    <row r="14">
      <c r="A14" s="26" t="n">
        <v>2</v>
      </c>
      <c r="B14" s="4" t="inlineStr">
        <is>
          <t>47,5 cycles (1,32 µs)</t>
        </is>
      </c>
      <c r="C14" s="26" t="n">
        <v>1790433425069</v>
      </c>
      <c r="D14" s="26" t="n">
        <v>600</v>
      </c>
      <c r="E14" s="26" t="n">
        <v>500</v>
      </c>
      <c r="F14" s="26" t="n">
        <v>500</v>
      </c>
      <c r="G14" s="26" t="n">
        <v>100</v>
      </c>
      <c r="H14" s="4" t="inlineStr">
        <is>
          <t>A+</t>
        </is>
      </c>
      <c r="I14" s="18" t="n">
        <v>103.32</v>
      </c>
      <c r="J14" s="18" t="n">
        <v>-35.1</v>
      </c>
      <c r="K14" s="18" t="n">
        <v>-64.09</v>
      </c>
      <c r="L14" s="18">
        <f>I14+J14+K14</f>
        <v/>
      </c>
      <c r="M14" s="15">
        <f>IF(MAX(ABS(I14),ABS(J14),ABS(K14))&lt;5,"s.o.",L14/MAX(ABS(I14),ABS(J14),ABS(K14)))</f>
        <v/>
      </c>
      <c r="N14" s="27">
        <f>I14*Conditions!$B$25</f>
        <v/>
      </c>
      <c r="O14" s="27">
        <f>J14*Conditions!$B$25</f>
        <v/>
      </c>
      <c r="P14" s="27">
        <f>K14*Conditions!$B$25</f>
        <v/>
      </c>
      <c r="Q14" s="28" t="n">
        <v>0.059</v>
      </c>
      <c r="R14" s="27" t="n">
        <v>158</v>
      </c>
      <c r="S14" s="5" t="inlineStr">
        <is>
          <t>Retenu (rotor aligné)</t>
        </is>
      </c>
    </row>
    <row r="15">
      <c r="A15" s="19" t="n">
        <v>2</v>
      </c>
      <c r="B15" s="20" t="inlineStr">
        <is>
          <t>47,5 cycles (1,32 µs)</t>
        </is>
      </c>
      <c r="C15" s="19" t="n">
        <v>1790433426759</v>
      </c>
      <c r="D15" s="19" t="n">
        <v>500</v>
      </c>
      <c r="E15" s="19" t="n">
        <v>600</v>
      </c>
      <c r="F15" s="19" t="n">
        <v>500</v>
      </c>
      <c r="G15" s="19" t="n">
        <v>100</v>
      </c>
      <c r="H15" s="20" t="inlineStr">
        <is>
          <t>B+</t>
        </is>
      </c>
      <c r="I15" s="21" t="n">
        <v>-62.85</v>
      </c>
      <c r="J15" s="21" t="n">
        <v>64.77</v>
      </c>
      <c r="K15" s="21" t="n">
        <v>-48.28</v>
      </c>
      <c r="L15" s="21">
        <f>I15+J15+K15</f>
        <v/>
      </c>
      <c r="M15" s="22">
        <f>IF(MAX(ABS(I15),ABS(J15),ABS(K15))&lt;5,"s.o.",L15/MAX(ABS(I15),ABS(J15),ABS(K15)))</f>
        <v/>
      </c>
      <c r="N15" s="23">
        <f>I15*Conditions!$B$25</f>
        <v/>
      </c>
      <c r="O15" s="23">
        <f>J15*Conditions!$B$25</f>
        <v/>
      </c>
      <c r="P15" s="23">
        <f>K15*Conditions!$B$25</f>
        <v/>
      </c>
      <c r="Q15" s="24" t="n">
        <v>0.391</v>
      </c>
      <c r="R15" s="23" t="n">
        <v>119</v>
      </c>
      <c r="S15" s="25" t="inlineStr">
        <is>
          <t>1re impulsion : alignement du rotor, non retenue</t>
        </is>
      </c>
    </row>
    <row r="16">
      <c r="A16" s="26" t="n">
        <v>2</v>
      </c>
      <c r="B16" s="4" t="inlineStr">
        <is>
          <t>47,5 cycles (1,32 µs)</t>
        </is>
      </c>
      <c r="C16" s="26" t="n">
        <v>1790433428476</v>
      </c>
      <c r="D16" s="26" t="n">
        <v>500</v>
      </c>
      <c r="E16" s="26" t="n">
        <v>600</v>
      </c>
      <c r="F16" s="26" t="n">
        <v>500</v>
      </c>
      <c r="G16" s="26" t="n">
        <v>100</v>
      </c>
      <c r="H16" s="4" t="inlineStr">
        <is>
          <t>B+</t>
        </is>
      </c>
      <c r="I16" s="18" t="n">
        <v>-54</v>
      </c>
      <c r="J16" s="18" t="n">
        <v>66.48999999999999</v>
      </c>
      <c r="K16" s="18" t="n">
        <v>-62.56</v>
      </c>
      <c r="L16" s="18">
        <f>I16+J16+K16</f>
        <v/>
      </c>
      <c r="M16" s="15">
        <f>IF(MAX(ABS(I16),ABS(J16),ABS(K16))&lt;5,"s.o.",L16/MAX(ABS(I16),ABS(J16),ABS(K16)))</f>
        <v/>
      </c>
      <c r="N16" s="27">
        <f>I16*Conditions!$B$25</f>
        <v/>
      </c>
      <c r="O16" s="27">
        <f>J16*Conditions!$B$25</f>
        <v/>
      </c>
      <c r="P16" s="27">
        <f>K16*Conditions!$B$25</f>
        <v/>
      </c>
      <c r="Q16" s="28" t="n">
        <v>0.011</v>
      </c>
      <c r="R16" s="27" t="n">
        <v>96</v>
      </c>
      <c r="S16" s="5" t="inlineStr">
        <is>
          <t>Retenu (rotor aligné)</t>
        </is>
      </c>
    </row>
    <row r="17">
      <c r="A17" s="19" t="n">
        <v>2</v>
      </c>
      <c r="B17" s="20" t="inlineStr">
        <is>
          <t>47,5 cycles (1,32 µs)</t>
        </is>
      </c>
      <c r="C17" s="19" t="n">
        <v>1790433430197</v>
      </c>
      <c r="D17" s="19" t="n">
        <v>500</v>
      </c>
      <c r="E17" s="19" t="n">
        <v>500</v>
      </c>
      <c r="F17" s="19" t="n">
        <v>600</v>
      </c>
      <c r="G17" s="19" t="n">
        <v>100</v>
      </c>
      <c r="H17" s="20" t="inlineStr">
        <is>
          <t>C+</t>
        </is>
      </c>
      <c r="I17" s="21" t="n">
        <v>-31.82</v>
      </c>
      <c r="J17" s="21" t="n">
        <v>-35.25</v>
      </c>
      <c r="K17" s="21" t="n">
        <v>110.19</v>
      </c>
      <c r="L17" s="21">
        <f>I17+J17+K17</f>
        <v/>
      </c>
      <c r="M17" s="22">
        <f>IF(MAX(ABS(I17),ABS(J17),ABS(K17))&lt;5,"s.o.",L17/MAX(ABS(I17),ABS(J17),ABS(K17)))</f>
        <v/>
      </c>
      <c r="N17" s="23">
        <f>I17*Conditions!$B$25</f>
        <v/>
      </c>
      <c r="O17" s="23">
        <f>J17*Conditions!$B$25</f>
        <v/>
      </c>
      <c r="P17" s="23">
        <f>K17*Conditions!$B$25</f>
        <v/>
      </c>
      <c r="Q17" s="24" t="n">
        <v>0.376</v>
      </c>
      <c r="R17" s="23" t="n">
        <v>130</v>
      </c>
      <c r="S17" s="25" t="inlineStr">
        <is>
          <t>1re impulsion : alignement du rotor, non retenue</t>
        </is>
      </c>
    </row>
    <row r="18">
      <c r="A18" s="26" t="n">
        <v>2</v>
      </c>
      <c r="B18" s="4" t="inlineStr">
        <is>
          <t>47,5 cycles (1,32 µs)</t>
        </is>
      </c>
      <c r="C18" s="26" t="n">
        <v>1790433431933</v>
      </c>
      <c r="D18" s="26" t="n">
        <v>500</v>
      </c>
      <c r="E18" s="26" t="n">
        <v>500</v>
      </c>
      <c r="F18" s="26" t="n">
        <v>600</v>
      </c>
      <c r="G18" s="26" t="n">
        <v>100</v>
      </c>
      <c r="H18" s="4" t="inlineStr">
        <is>
          <t>C+</t>
        </is>
      </c>
      <c r="I18" s="18" t="n">
        <v>-50.81</v>
      </c>
      <c r="J18" s="18" t="n">
        <v>-32.03</v>
      </c>
      <c r="K18" s="18" t="n">
        <v>112.4</v>
      </c>
      <c r="L18" s="18">
        <f>I18+J18+K18</f>
        <v/>
      </c>
      <c r="M18" s="15">
        <f>IF(MAX(ABS(I18),ABS(J18),ABS(K18))&lt;5,"s.o.",L18/MAX(ABS(I18),ABS(J18),ABS(K18)))</f>
        <v/>
      </c>
      <c r="N18" s="27">
        <f>I18*Conditions!$B$25</f>
        <v/>
      </c>
      <c r="O18" s="27">
        <f>J18*Conditions!$B$25</f>
        <v/>
      </c>
      <c r="P18" s="27">
        <f>K18*Conditions!$B$25</f>
        <v/>
      </c>
      <c r="Q18" s="28" t="n">
        <v>0.023</v>
      </c>
      <c r="R18" s="27" t="n">
        <v>121</v>
      </c>
      <c r="S18" s="5" t="inlineStr">
        <is>
          <t>Retenu (rotor aligné)</t>
        </is>
      </c>
    </row>
    <row r="19">
      <c r="A19" s="19" t="n">
        <v>2</v>
      </c>
      <c r="B19" s="20" t="inlineStr">
        <is>
          <t>47,5 cycles (1,32 µs)</t>
        </is>
      </c>
      <c r="C19" s="19" t="n">
        <v>1790433490443</v>
      </c>
      <c r="D19" s="19" t="n">
        <v>400</v>
      </c>
      <c r="E19" s="19" t="n">
        <v>500</v>
      </c>
      <c r="F19" s="19" t="n">
        <v>500</v>
      </c>
      <c r="G19" s="19" t="n">
        <v>100</v>
      </c>
      <c r="H19" s="20" t="inlineStr">
        <is>
          <t>A−</t>
        </is>
      </c>
      <c r="I19" s="21" t="n">
        <v>-102.82</v>
      </c>
      <c r="J19" s="21" t="n">
        <v>37.67</v>
      </c>
      <c r="K19" s="21" t="n">
        <v>49.19</v>
      </c>
      <c r="L19" s="21">
        <f>I19+J19+K19</f>
        <v/>
      </c>
      <c r="M19" s="22">
        <f>IF(MAX(ABS(I19),ABS(J19),ABS(K19))&lt;5,"s.o.",L19/MAX(ABS(I19),ABS(J19),ABS(K19)))</f>
        <v/>
      </c>
      <c r="N19" s="23">
        <f>I19*Conditions!$B$25</f>
        <v/>
      </c>
      <c r="O19" s="23">
        <f>J19*Conditions!$B$25</f>
        <v/>
      </c>
      <c r="P19" s="23">
        <f>K19*Conditions!$B$25</f>
        <v/>
      </c>
      <c r="Q19" s="24" t="n">
        <v>0.267</v>
      </c>
      <c r="R19" s="23" t="n">
        <v>123</v>
      </c>
      <c r="S19" s="25" t="inlineStr">
        <is>
          <t>1re impulsion : alignement du rotor, non retenue</t>
        </is>
      </c>
    </row>
    <row r="20">
      <c r="A20" s="26" t="n">
        <v>2</v>
      </c>
      <c r="B20" s="4" t="inlineStr">
        <is>
          <t>47,5 cycles (1,32 µs)</t>
        </is>
      </c>
      <c r="C20" s="26" t="n">
        <v>1790433492160</v>
      </c>
      <c r="D20" s="26" t="n">
        <v>400</v>
      </c>
      <c r="E20" s="26" t="n">
        <v>500</v>
      </c>
      <c r="F20" s="26" t="n">
        <v>500</v>
      </c>
      <c r="G20" s="26" t="n">
        <v>100</v>
      </c>
      <c r="H20" s="4" t="inlineStr">
        <is>
          <t>A−</t>
        </is>
      </c>
      <c r="I20" s="18" t="n">
        <v>-103.88</v>
      </c>
      <c r="J20" s="18" t="n">
        <v>31.26</v>
      </c>
      <c r="K20" s="18" t="n">
        <v>61.15</v>
      </c>
      <c r="L20" s="18">
        <f>I20+J20+K20</f>
        <v/>
      </c>
      <c r="M20" s="15">
        <f>IF(MAX(ABS(I20),ABS(J20),ABS(K20))&lt;5,"s.o.",L20/MAX(ABS(I20),ABS(J20),ABS(K20)))</f>
        <v/>
      </c>
      <c r="N20" s="27">
        <f>I20*Conditions!$B$25</f>
        <v/>
      </c>
      <c r="O20" s="27">
        <f>J20*Conditions!$B$25</f>
        <v/>
      </c>
      <c r="P20" s="27">
        <f>K20*Conditions!$B$25</f>
        <v/>
      </c>
      <c r="Q20" s="28" t="n">
        <v>0.152</v>
      </c>
      <c r="R20" s="27" t="n">
        <v>119</v>
      </c>
      <c r="S20" s="5" t="inlineStr">
        <is>
          <t>Retenu (rotor aligné)</t>
        </is>
      </c>
    </row>
    <row r="21">
      <c r="A21" s="19" t="n">
        <v>2</v>
      </c>
      <c r="B21" s="20" t="inlineStr">
        <is>
          <t>47,5 cycles (1,32 µs)</t>
        </is>
      </c>
      <c r="C21" s="19" t="n">
        <v>1790433493812</v>
      </c>
      <c r="D21" s="19" t="n">
        <v>500</v>
      </c>
      <c r="E21" s="19" t="n">
        <v>400</v>
      </c>
      <c r="F21" s="19" t="n">
        <v>500</v>
      </c>
      <c r="G21" s="19" t="n">
        <v>100</v>
      </c>
      <c r="H21" s="20" t="inlineStr">
        <is>
          <t>B−</t>
        </is>
      </c>
      <c r="I21" s="21" t="n">
        <v>18.9</v>
      </c>
      <c r="J21" s="21" t="n">
        <v>-45.19</v>
      </c>
      <c r="K21" s="21" t="n">
        <v>55.93</v>
      </c>
      <c r="L21" s="21">
        <f>I21+J21+K21</f>
        <v/>
      </c>
      <c r="M21" s="22">
        <f>IF(MAX(ABS(I21),ABS(J21),ABS(K21))&lt;5,"s.o.",L21/MAX(ABS(I21),ABS(J21),ABS(K21)))</f>
        <v/>
      </c>
      <c r="N21" s="23">
        <f>I21*Conditions!$B$25</f>
        <v/>
      </c>
      <c r="O21" s="23">
        <f>J21*Conditions!$B$25</f>
        <v/>
      </c>
      <c r="P21" s="23">
        <f>K21*Conditions!$B$25</f>
        <v/>
      </c>
      <c r="Q21" s="24" t="n">
        <v>0.617</v>
      </c>
      <c r="R21" s="23" t="n">
        <v>112</v>
      </c>
      <c r="S21" s="25" t="inlineStr">
        <is>
          <t>1re impulsion : alignement du rotor, non retenue</t>
        </is>
      </c>
    </row>
    <row r="22">
      <c r="A22" s="26" t="n">
        <v>2</v>
      </c>
      <c r="B22" s="4" t="inlineStr">
        <is>
          <t>47,5 cycles (1,32 µs)</t>
        </is>
      </c>
      <c r="C22" s="26" t="n">
        <v>1790433495531</v>
      </c>
      <c r="D22" s="26" t="n">
        <v>500</v>
      </c>
      <c r="E22" s="26" t="n">
        <v>400</v>
      </c>
      <c r="F22" s="26" t="n">
        <v>500</v>
      </c>
      <c r="G22" s="26" t="n">
        <v>100</v>
      </c>
      <c r="H22" s="4" t="inlineStr">
        <is>
          <t>B−</t>
        </is>
      </c>
      <c r="I22" s="18" t="n">
        <v>52.3</v>
      </c>
      <c r="J22" s="18" t="n">
        <v>-68.17</v>
      </c>
      <c r="K22" s="18" t="n">
        <v>54.29</v>
      </c>
      <c r="L22" s="18">
        <f>I22+J22+K22</f>
        <v/>
      </c>
      <c r="M22" s="15">
        <f>IF(MAX(ABS(I22),ABS(J22),ABS(K22))&lt;5,"s.o.",L22/MAX(ABS(I22),ABS(J22),ABS(K22)))</f>
        <v/>
      </c>
      <c r="N22" s="27">
        <f>I22*Conditions!$B$25</f>
        <v/>
      </c>
      <c r="O22" s="27">
        <f>J22*Conditions!$B$25</f>
        <v/>
      </c>
      <c r="P22" s="27">
        <f>K22*Conditions!$B$25</f>
        <v/>
      </c>
      <c r="Q22" s="28" t="n">
        <v>0.034</v>
      </c>
      <c r="R22" s="27" t="n">
        <v>100</v>
      </c>
      <c r="S22" s="5" t="inlineStr">
        <is>
          <t>Retenu (rotor aligné)</t>
        </is>
      </c>
    </row>
    <row r="23">
      <c r="A23" s="19" t="n">
        <v>2</v>
      </c>
      <c r="B23" s="20" t="inlineStr">
        <is>
          <t>47,5 cycles (1,32 µs)</t>
        </is>
      </c>
      <c r="C23" s="19" t="n">
        <v>1790433497277</v>
      </c>
      <c r="D23" s="19" t="n">
        <v>500</v>
      </c>
      <c r="E23" s="19" t="n">
        <v>500</v>
      </c>
      <c r="F23" s="19" t="n">
        <v>400</v>
      </c>
      <c r="G23" s="19" t="n">
        <v>100</v>
      </c>
      <c r="H23" s="20" t="inlineStr">
        <is>
          <t>C−</t>
        </is>
      </c>
      <c r="I23" s="21" t="n">
        <v>40.03</v>
      </c>
      <c r="J23" s="21" t="n">
        <v>36.62</v>
      </c>
      <c r="K23" s="21" t="n">
        <v>-119.04</v>
      </c>
      <c r="L23" s="21">
        <f>I23+J23+K23</f>
        <v/>
      </c>
      <c r="M23" s="22">
        <f>IF(MAX(ABS(I23),ABS(J23),ABS(K23))&lt;5,"s.o.",L23/MAX(ABS(I23),ABS(J23),ABS(K23)))</f>
        <v/>
      </c>
      <c r="N23" s="23">
        <f>I23*Conditions!$B$25</f>
        <v/>
      </c>
      <c r="O23" s="23">
        <f>J23*Conditions!$B$25</f>
        <v/>
      </c>
      <c r="P23" s="23">
        <f>K23*Conditions!$B$25</f>
        <v/>
      </c>
      <c r="Q23" s="24" t="n">
        <v>0.372</v>
      </c>
      <c r="R23" s="23" t="n">
        <v>135</v>
      </c>
      <c r="S23" s="25" t="inlineStr">
        <is>
          <t>1re impulsion : alignement du rotor, non retenue</t>
        </is>
      </c>
    </row>
    <row r="24">
      <c r="A24" s="26" t="n">
        <v>2</v>
      </c>
      <c r="B24" s="4" t="inlineStr">
        <is>
          <t>47,5 cycles (1,32 µs)</t>
        </is>
      </c>
      <c r="C24" s="26" t="n">
        <v>1790433498982</v>
      </c>
      <c r="D24" s="26" t="n">
        <v>500</v>
      </c>
      <c r="E24" s="26" t="n">
        <v>500</v>
      </c>
      <c r="F24" s="26" t="n">
        <v>400</v>
      </c>
      <c r="G24" s="26" t="n">
        <v>100</v>
      </c>
      <c r="H24" s="4" t="inlineStr">
        <is>
          <t>C−</t>
        </is>
      </c>
      <c r="I24" s="18" t="n">
        <v>49.02</v>
      </c>
      <c r="J24" s="18" t="n">
        <v>32.08</v>
      </c>
      <c r="K24" s="18" t="n">
        <v>-121.24</v>
      </c>
      <c r="L24" s="18">
        <f>I24+J24+K24</f>
        <v/>
      </c>
      <c r="M24" s="15">
        <f>IF(MAX(ABS(I24),ABS(J24),ABS(K24))&lt;5,"s.o.",L24/MAX(ABS(I24),ABS(J24),ABS(K24)))</f>
        <v/>
      </c>
      <c r="N24" s="27">
        <f>I24*Conditions!$B$25</f>
        <v/>
      </c>
      <c r="O24" s="27">
        <f>J24*Conditions!$B$25</f>
        <v/>
      </c>
      <c r="P24" s="27">
        <f>K24*Conditions!$B$25</f>
        <v/>
      </c>
      <c r="Q24" s="28" t="n">
        <v>0.056</v>
      </c>
      <c r="R24" s="27" t="n">
        <v>128</v>
      </c>
      <c r="S24" s="5" t="inlineStr">
        <is>
          <t>Retenu (rotor aligné)</t>
        </is>
      </c>
    </row>
    <row r="26">
      <c r="A26" s="2" t="inlineStr">
        <is>
          <t>Lignes grises : impulsions non retenues pour l'analyse. dA/dB/dC, excursion et pic calculés depuis les CSV (2048 points à 20 kHz) ; colonnes L à P : formules.</t>
        </is>
      </c>
    </row>
    <row r="27">
      <c r="A27" s="2" t="inlineStr">
        <is>
          <t>Erreur « s.o. » : dénominateur &lt; 5 counts (écart nul). Excursion rotor = max − min de pos_rad sur la capture. Pic = max |i| toutes voies sur la capture.</t>
        </is>
      </c>
    </row>
    <row r="29">
      <c r="A29" s="8" t="inlineStr">
        <is>
          <t>Rampe A dominante (A+) — erreur de somme vs écart de rapport cyclique</t>
        </is>
      </c>
    </row>
    <row r="30">
      <c r="A30" s="3" t="inlineStr">
        <is>
          <t>Écart (‰)</t>
        </is>
      </c>
      <c r="B30" s="3" t="inlineStr">
        <is>
          <t>Série 1 : 6,5 cycles</t>
        </is>
      </c>
      <c r="C30" s="3" t="inlineStr">
        <is>
          <t>Série 2 : 47,5 cycles (retenu)</t>
        </is>
      </c>
    </row>
    <row r="31">
      <c r="A31" s="26" t="n">
        <v>10</v>
      </c>
      <c r="B31" s="15">
        <f>M6</f>
        <v/>
      </c>
      <c r="C31" s="15" t="n"/>
    </row>
    <row r="32">
      <c r="A32" s="26" t="n">
        <v>30</v>
      </c>
      <c r="B32" s="15">
        <f>M7</f>
        <v/>
      </c>
      <c r="C32" s="15" t="n"/>
    </row>
    <row r="33">
      <c r="A33" s="26" t="n">
        <v>50</v>
      </c>
      <c r="B33" s="15">
        <f>M8</f>
        <v/>
      </c>
      <c r="C33" s="15" t="n"/>
    </row>
    <row r="34">
      <c r="A34" s="26" t="n">
        <v>70</v>
      </c>
      <c r="B34" s="15">
        <f>M9</f>
        <v/>
      </c>
      <c r="C34" s="15" t="n"/>
    </row>
    <row r="35">
      <c r="A35" s="26" t="n">
        <v>100</v>
      </c>
      <c r="B35" s="15">
        <f>M10</f>
        <v/>
      </c>
      <c r="C35" s="15">
        <f>M14</f>
        <v/>
      </c>
    </row>
    <row r="37">
      <c r="A37" s="2" t="inlineStr">
        <is>
          <t>Le point à 50 ‰ (41 %) coïncide avec un rotor en mouvement : la rampe n'est pas monotone.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</cols>
  <sheetData>
    <row r="1">
      <c r="A1" s="1" t="inlineStr">
        <is>
          <t>Capture typique — 600/500/500, série 2 (47,5 cycles), impulsion retenue</t>
        </is>
      </c>
    </row>
    <row r="2">
      <c r="A2" s="2" t="inlineStr">
        <is>
          <t>Fichier step5_600_500_500_50ms_1790433425069.csv, sous-échantillonné 1 point sur 4 (0,2 ms) ; counts centrés, sans correction de gain</t>
        </is>
      </c>
    </row>
    <row r="4">
      <c r="A4" s="3" t="inlineStr">
        <is>
          <t>t (ms)</t>
        </is>
      </c>
      <c r="B4" s="3" t="inlineStr">
        <is>
          <t>ia (counts)</t>
        </is>
      </c>
      <c r="C4" s="3" t="inlineStr">
        <is>
          <t>ib (counts)</t>
        </is>
      </c>
      <c r="D4" s="3" t="inlineStr">
        <is>
          <t>ic (counts)</t>
        </is>
      </c>
      <c r="E4" s="3" t="inlineStr">
        <is>
          <t>Σ (counts)</t>
        </is>
      </c>
      <c r="F4" s="3" t="inlineStr">
        <is>
          <t>pos (rad)</t>
        </is>
      </c>
    </row>
    <row r="5">
      <c r="A5" s="29" t="n">
        <v>0</v>
      </c>
      <c r="B5" s="30" t="n">
        <v>14</v>
      </c>
      <c r="C5" s="30" t="n">
        <v>3</v>
      </c>
      <c r="D5" s="30" t="n">
        <v>0</v>
      </c>
      <c r="E5" s="30">
        <f>B5+C5+D5</f>
        <v/>
      </c>
      <c r="F5" s="31" t="n">
        <v>-0.1902</v>
      </c>
    </row>
    <row r="6">
      <c r="A6" s="29" t="n">
        <v>0.2</v>
      </c>
      <c r="B6" s="30" t="n">
        <v>9</v>
      </c>
      <c r="C6" s="30" t="n">
        <v>8</v>
      </c>
      <c r="D6" s="30" t="n">
        <v>0</v>
      </c>
      <c r="E6" s="30">
        <f>B6+C6+D6</f>
        <v/>
      </c>
      <c r="F6" s="31" t="n">
        <v>-0.1902</v>
      </c>
    </row>
    <row r="7">
      <c r="A7" s="29" t="n">
        <v>0.4</v>
      </c>
      <c r="B7" s="30" t="n">
        <v>9</v>
      </c>
      <c r="C7" s="30" t="n">
        <v>3</v>
      </c>
      <c r="D7" s="30" t="n">
        <v>0</v>
      </c>
      <c r="E7" s="30">
        <f>B7+C7+D7</f>
        <v/>
      </c>
      <c r="F7" s="31" t="n">
        <v>-0.1902</v>
      </c>
    </row>
    <row r="8">
      <c r="A8" s="29" t="n">
        <v>0.6</v>
      </c>
      <c r="B8" s="30" t="n">
        <v>12</v>
      </c>
      <c r="C8" s="30" t="n">
        <v>3</v>
      </c>
      <c r="D8" s="30" t="n">
        <v>0</v>
      </c>
      <c r="E8" s="30">
        <f>B8+C8+D8</f>
        <v/>
      </c>
      <c r="F8" s="31" t="n">
        <v>-0.1902</v>
      </c>
    </row>
    <row r="9">
      <c r="A9" s="29" t="n">
        <v>0.8</v>
      </c>
      <c r="B9" s="30" t="n">
        <v>14</v>
      </c>
      <c r="C9" s="30" t="n">
        <v>8</v>
      </c>
      <c r="D9" s="30" t="n">
        <v>0</v>
      </c>
      <c r="E9" s="30">
        <f>B9+C9+D9</f>
        <v/>
      </c>
      <c r="F9" s="31" t="n">
        <v>-0.1886</v>
      </c>
    </row>
    <row r="10">
      <c r="A10" s="29" t="n">
        <v>1</v>
      </c>
      <c r="B10" s="30" t="n">
        <v>11</v>
      </c>
      <c r="C10" s="30" t="n">
        <v>7</v>
      </c>
      <c r="D10" s="30" t="n">
        <v>0</v>
      </c>
      <c r="E10" s="30">
        <f>B10+C10+D10</f>
        <v/>
      </c>
      <c r="F10" s="31" t="n">
        <v>-0.1902</v>
      </c>
    </row>
    <row r="11">
      <c r="A11" s="29" t="n">
        <v>1.2</v>
      </c>
      <c r="B11" s="30" t="n">
        <v>12</v>
      </c>
      <c r="C11" s="30" t="n">
        <v>6</v>
      </c>
      <c r="D11" s="30" t="n">
        <v>0</v>
      </c>
      <c r="E11" s="30">
        <f>B11+C11+D11</f>
        <v/>
      </c>
      <c r="F11" s="31" t="n">
        <v>-0.1887</v>
      </c>
    </row>
    <row r="12">
      <c r="A12" s="29" t="n">
        <v>1.4</v>
      </c>
      <c r="B12" s="30" t="n">
        <v>11</v>
      </c>
      <c r="C12" s="30" t="n">
        <v>10</v>
      </c>
      <c r="D12" s="30" t="n">
        <v>1</v>
      </c>
      <c r="E12" s="30">
        <f>B12+C12+D12</f>
        <v/>
      </c>
      <c r="F12" s="31" t="n">
        <v>-0.1887</v>
      </c>
    </row>
    <row r="13">
      <c r="A13" s="29" t="n">
        <v>1.6</v>
      </c>
      <c r="B13" s="30" t="n">
        <v>13</v>
      </c>
      <c r="C13" s="30" t="n">
        <v>2</v>
      </c>
      <c r="D13" s="30" t="n">
        <v>0</v>
      </c>
      <c r="E13" s="30">
        <f>B13+C13+D13</f>
        <v/>
      </c>
      <c r="F13" s="31" t="n">
        <v>-0.1902</v>
      </c>
    </row>
    <row r="14">
      <c r="A14" s="29" t="n">
        <v>1.8</v>
      </c>
      <c r="B14" s="30" t="n">
        <v>12</v>
      </c>
      <c r="C14" s="30" t="n">
        <v>6</v>
      </c>
      <c r="D14" s="30" t="n">
        <v>0</v>
      </c>
      <c r="E14" s="30">
        <f>B14+C14+D14</f>
        <v/>
      </c>
      <c r="F14" s="31" t="n">
        <v>-0.1902</v>
      </c>
    </row>
    <row r="15">
      <c r="A15" s="29" t="n">
        <v>2</v>
      </c>
      <c r="B15" s="30" t="n">
        <v>30</v>
      </c>
      <c r="C15" s="30" t="n">
        <v>0</v>
      </c>
      <c r="D15" s="30" t="n">
        <v>0</v>
      </c>
      <c r="E15" s="30">
        <f>B15+C15+D15</f>
        <v/>
      </c>
      <c r="F15" s="31" t="n">
        <v>-0.1902</v>
      </c>
    </row>
    <row r="16">
      <c r="A16" s="29" t="n">
        <v>2.2</v>
      </c>
      <c r="B16" s="30" t="n">
        <v>73</v>
      </c>
      <c r="C16" s="30" t="n">
        <v>0</v>
      </c>
      <c r="D16" s="30" t="n">
        <v>-37</v>
      </c>
      <c r="E16" s="30">
        <f>B16+C16+D16</f>
        <v/>
      </c>
      <c r="F16" s="31" t="n">
        <v>-0.1887</v>
      </c>
    </row>
    <row r="17">
      <c r="A17" s="29" t="n">
        <v>2.4</v>
      </c>
      <c r="B17" s="30" t="n">
        <v>94</v>
      </c>
      <c r="C17" s="30" t="n">
        <v>-24</v>
      </c>
      <c r="D17" s="30" t="n">
        <v>-54</v>
      </c>
      <c r="E17" s="30">
        <f>B17+C17+D17</f>
        <v/>
      </c>
      <c r="F17" s="31" t="n">
        <v>-0.1684</v>
      </c>
    </row>
    <row r="18">
      <c r="A18" s="29" t="n">
        <v>2.6</v>
      </c>
      <c r="B18" s="30" t="n">
        <v>103</v>
      </c>
      <c r="C18" s="30" t="n">
        <v>-25</v>
      </c>
      <c r="D18" s="30" t="n">
        <v>-56</v>
      </c>
      <c r="E18" s="30">
        <f>B18+C18+D18</f>
        <v/>
      </c>
      <c r="F18" s="31" t="n">
        <v>-0.1683</v>
      </c>
    </row>
    <row r="19">
      <c r="A19" s="29" t="n">
        <v>2.8</v>
      </c>
      <c r="B19" s="30" t="n">
        <v>96</v>
      </c>
      <c r="C19" s="30" t="n">
        <v>-29</v>
      </c>
      <c r="D19" s="30" t="n">
        <v>-59</v>
      </c>
      <c r="E19" s="30">
        <f>B19+C19+D19</f>
        <v/>
      </c>
      <c r="F19" s="31" t="n">
        <v>-0.1903</v>
      </c>
    </row>
    <row r="20">
      <c r="A20" s="29" t="n">
        <v>3</v>
      </c>
      <c r="B20" s="30" t="n">
        <v>112</v>
      </c>
      <c r="C20" s="30" t="n">
        <v>-30</v>
      </c>
      <c r="D20" s="30" t="n">
        <v>-61</v>
      </c>
      <c r="E20" s="30">
        <f>B20+C20+D20</f>
        <v/>
      </c>
      <c r="F20" s="31" t="n">
        <v>-0.1902</v>
      </c>
    </row>
    <row r="21">
      <c r="A21" s="29" t="n">
        <v>3.2</v>
      </c>
      <c r="B21" s="30" t="n">
        <v>114</v>
      </c>
      <c r="C21" s="30" t="n">
        <v>-31</v>
      </c>
      <c r="D21" s="30" t="n">
        <v>-58</v>
      </c>
      <c r="E21" s="30">
        <f>B21+C21+D21</f>
        <v/>
      </c>
      <c r="F21" s="31" t="n">
        <v>-0.1902</v>
      </c>
    </row>
    <row r="22">
      <c r="A22" s="29" t="n">
        <v>3.4</v>
      </c>
      <c r="B22" s="30" t="n">
        <v>113</v>
      </c>
      <c r="C22" s="30" t="n">
        <v>-32</v>
      </c>
      <c r="D22" s="30" t="n">
        <v>-61</v>
      </c>
      <c r="E22" s="30">
        <f>B22+C22+D22</f>
        <v/>
      </c>
      <c r="F22" s="31" t="n">
        <v>-0.1902</v>
      </c>
    </row>
    <row r="23">
      <c r="A23" s="29" t="n">
        <v>3.6</v>
      </c>
      <c r="B23" s="30" t="n">
        <v>110</v>
      </c>
      <c r="C23" s="30" t="n">
        <v>-34</v>
      </c>
      <c r="D23" s="30" t="n">
        <v>-60</v>
      </c>
      <c r="E23" s="30">
        <f>B23+C23+D23</f>
        <v/>
      </c>
      <c r="F23" s="31" t="n">
        <v>-0.1903</v>
      </c>
    </row>
    <row r="24">
      <c r="A24" s="29" t="n">
        <v>3.8</v>
      </c>
      <c r="B24" s="30" t="n">
        <v>115</v>
      </c>
      <c r="C24" s="30" t="n">
        <v>-29</v>
      </c>
      <c r="D24" s="30" t="n">
        <v>-58</v>
      </c>
      <c r="E24" s="30">
        <f>B24+C24+D24</f>
        <v/>
      </c>
      <c r="F24" s="31" t="n">
        <v>-0.184</v>
      </c>
    </row>
    <row r="25">
      <c r="A25" s="29" t="n">
        <v>4</v>
      </c>
      <c r="B25" s="30" t="n">
        <v>115</v>
      </c>
      <c r="C25" s="30" t="n">
        <v>-28</v>
      </c>
      <c r="D25" s="30" t="n">
        <v>-63</v>
      </c>
      <c r="E25" s="30">
        <f>B25+C25+D25</f>
        <v/>
      </c>
      <c r="F25" s="31" t="n">
        <v>-0.1902</v>
      </c>
    </row>
    <row r="26">
      <c r="A26" s="29" t="n">
        <v>4.2</v>
      </c>
      <c r="B26" s="30" t="n">
        <v>113</v>
      </c>
      <c r="C26" s="30" t="n">
        <v>-35</v>
      </c>
      <c r="D26" s="30" t="n">
        <v>-62</v>
      </c>
      <c r="E26" s="30">
        <f>B26+C26+D26</f>
        <v/>
      </c>
      <c r="F26" s="31" t="n">
        <v>-0.1902</v>
      </c>
      <c r="H26" s="2" t="inlineStr">
        <is>
          <t>Impulsion de 50 ms démarrant ~2 ms après le début ; fenêtre de régime 30–50 ms, de repos 60–100 ms.</t>
        </is>
      </c>
    </row>
    <row r="27">
      <c r="A27" s="29" t="n">
        <v>4.4</v>
      </c>
      <c r="B27" s="30" t="n">
        <v>113</v>
      </c>
      <c r="C27" s="30" t="n">
        <v>-30</v>
      </c>
      <c r="D27" s="30" t="n">
        <v>-57</v>
      </c>
      <c r="E27" s="30">
        <f>B27+C27+D27</f>
        <v/>
      </c>
      <c r="F27" s="31" t="n">
        <v>-0.1902</v>
      </c>
    </row>
    <row r="28">
      <c r="A28" s="29" t="n">
        <v>4.6</v>
      </c>
      <c r="B28" s="30" t="n">
        <v>113</v>
      </c>
      <c r="C28" s="30" t="n">
        <v>-33</v>
      </c>
      <c r="D28" s="30" t="n">
        <v>-61</v>
      </c>
      <c r="E28" s="30">
        <f>B28+C28+D28</f>
        <v/>
      </c>
      <c r="F28" s="31" t="n">
        <v>-0.1918</v>
      </c>
    </row>
    <row r="29">
      <c r="A29" s="29" t="n">
        <v>4.8</v>
      </c>
      <c r="B29" s="30" t="n">
        <v>113</v>
      </c>
      <c r="C29" s="30" t="n">
        <v>-32</v>
      </c>
      <c r="D29" s="30" t="n">
        <v>-58</v>
      </c>
      <c r="E29" s="30">
        <f>B29+C29+D29</f>
        <v/>
      </c>
      <c r="F29" s="31" t="n">
        <v>-0.1918</v>
      </c>
    </row>
    <row r="30">
      <c r="A30" s="29" t="n">
        <v>5</v>
      </c>
      <c r="B30" s="30" t="n">
        <v>107</v>
      </c>
      <c r="C30" s="30" t="n">
        <v>-32</v>
      </c>
      <c r="D30" s="30" t="n">
        <v>-58</v>
      </c>
      <c r="E30" s="30">
        <f>B30+C30+D30</f>
        <v/>
      </c>
      <c r="F30" s="31" t="n">
        <v>-0.1918</v>
      </c>
    </row>
    <row r="31">
      <c r="A31" s="29" t="n">
        <v>5.2</v>
      </c>
      <c r="B31" s="30" t="n">
        <v>115</v>
      </c>
      <c r="C31" s="30" t="n">
        <v>-30</v>
      </c>
      <c r="D31" s="30" t="n">
        <v>-55</v>
      </c>
      <c r="E31" s="30">
        <f>B31+C31+D31</f>
        <v/>
      </c>
      <c r="F31" s="31" t="n">
        <v>-0.1918</v>
      </c>
    </row>
    <row r="32">
      <c r="A32" s="29" t="n">
        <v>5.4</v>
      </c>
      <c r="B32" s="30" t="n">
        <v>115</v>
      </c>
      <c r="C32" s="30" t="n">
        <v>-29</v>
      </c>
      <c r="D32" s="30" t="n">
        <v>-57</v>
      </c>
      <c r="E32" s="30">
        <f>B32+C32+D32</f>
        <v/>
      </c>
      <c r="F32" s="31" t="n">
        <v>-0.1933</v>
      </c>
    </row>
    <row r="33">
      <c r="A33" s="29" t="n">
        <v>5.6</v>
      </c>
      <c r="B33" s="30" t="n">
        <v>117</v>
      </c>
      <c r="C33" s="30" t="n">
        <v>-39</v>
      </c>
      <c r="D33" s="30" t="n">
        <v>-56</v>
      </c>
      <c r="E33" s="30">
        <f>B33+C33+D33</f>
        <v/>
      </c>
      <c r="F33" s="31" t="n">
        <v>-0.1918</v>
      </c>
    </row>
    <row r="34">
      <c r="A34" s="29" t="n">
        <v>5.8</v>
      </c>
      <c r="B34" s="30" t="n">
        <v>112</v>
      </c>
      <c r="C34" s="30" t="n">
        <v>-30</v>
      </c>
      <c r="D34" s="30" t="n">
        <v>-62</v>
      </c>
      <c r="E34" s="30">
        <f>B34+C34+D34</f>
        <v/>
      </c>
      <c r="F34" s="31" t="n">
        <v>-0.1934</v>
      </c>
    </row>
    <row r="35">
      <c r="A35" s="29" t="n">
        <v>6</v>
      </c>
      <c r="B35" s="30" t="n">
        <v>115</v>
      </c>
      <c r="C35" s="30" t="n">
        <v>-33</v>
      </c>
      <c r="D35" s="30" t="n">
        <v>-61</v>
      </c>
      <c r="E35" s="30">
        <f>B35+C35+D35</f>
        <v/>
      </c>
      <c r="F35" s="31" t="n">
        <v>-0.1918</v>
      </c>
    </row>
    <row r="36">
      <c r="A36" s="29" t="n">
        <v>6.2</v>
      </c>
      <c r="B36" s="30" t="n">
        <v>114</v>
      </c>
      <c r="C36" s="30" t="n">
        <v>-31</v>
      </c>
      <c r="D36" s="30" t="n">
        <v>-58</v>
      </c>
      <c r="E36" s="30">
        <f>B36+C36+D36</f>
        <v/>
      </c>
      <c r="F36" s="31" t="n">
        <v>-0.1918</v>
      </c>
    </row>
    <row r="37">
      <c r="A37" s="29" t="n">
        <v>6.4</v>
      </c>
      <c r="B37" s="30" t="n">
        <v>107</v>
      </c>
      <c r="C37" s="30" t="n">
        <v>-37</v>
      </c>
      <c r="D37" s="30" t="n">
        <v>-61</v>
      </c>
      <c r="E37" s="30">
        <f>B37+C37+D37</f>
        <v/>
      </c>
      <c r="F37" s="31" t="n">
        <v>-0.1933</v>
      </c>
    </row>
    <row r="38">
      <c r="A38" s="29" t="n">
        <v>6.6</v>
      </c>
      <c r="B38" s="30" t="n">
        <v>118</v>
      </c>
      <c r="C38" s="30" t="n">
        <v>-35</v>
      </c>
      <c r="D38" s="30" t="n">
        <v>-57</v>
      </c>
      <c r="E38" s="30">
        <f>B38+C38+D38</f>
        <v/>
      </c>
      <c r="F38" s="31" t="n">
        <v>-0.1933</v>
      </c>
    </row>
    <row r="39">
      <c r="A39" s="29" t="n">
        <v>6.8</v>
      </c>
      <c r="B39" s="30" t="n">
        <v>114</v>
      </c>
      <c r="C39" s="30" t="n">
        <v>-32</v>
      </c>
      <c r="D39" s="30" t="n">
        <v>-57</v>
      </c>
      <c r="E39" s="30">
        <f>B39+C39+D39</f>
        <v/>
      </c>
      <c r="F39" s="31" t="n">
        <v>-0.1949</v>
      </c>
    </row>
    <row r="40">
      <c r="A40" s="29" t="n">
        <v>7</v>
      </c>
      <c r="B40" s="30" t="n">
        <v>114</v>
      </c>
      <c r="C40" s="30" t="n">
        <v>-31</v>
      </c>
      <c r="D40" s="30" t="n">
        <v>-57</v>
      </c>
      <c r="E40" s="30">
        <f>B40+C40+D40</f>
        <v/>
      </c>
      <c r="F40" s="31" t="n">
        <v>-0.1933</v>
      </c>
    </row>
    <row r="41">
      <c r="A41" s="29" t="n">
        <v>7.2</v>
      </c>
      <c r="B41" s="30" t="n">
        <v>109</v>
      </c>
      <c r="C41" s="30" t="n">
        <v>-30</v>
      </c>
      <c r="D41" s="30" t="n">
        <v>-60</v>
      </c>
      <c r="E41" s="30">
        <f>B41+C41+D41</f>
        <v/>
      </c>
      <c r="F41" s="31" t="n">
        <v>-0.1949</v>
      </c>
    </row>
    <row r="42">
      <c r="A42" s="29" t="n">
        <v>7.4</v>
      </c>
      <c r="B42" s="30" t="n">
        <v>114</v>
      </c>
      <c r="C42" s="30" t="n">
        <v>-30</v>
      </c>
      <c r="D42" s="30" t="n">
        <v>-54</v>
      </c>
      <c r="E42" s="30">
        <f>B42+C42+D42</f>
        <v/>
      </c>
      <c r="F42" s="31" t="n">
        <v>-0.1949</v>
      </c>
    </row>
    <row r="43">
      <c r="A43" s="29" t="n">
        <v>7.6</v>
      </c>
      <c r="B43" s="30" t="n">
        <v>113</v>
      </c>
      <c r="C43" s="30" t="n">
        <v>-35</v>
      </c>
      <c r="D43" s="30" t="n">
        <v>-54</v>
      </c>
      <c r="E43" s="30">
        <f>B43+C43+D43</f>
        <v/>
      </c>
      <c r="F43" s="31" t="n">
        <v>-0.1964</v>
      </c>
    </row>
    <row r="44">
      <c r="A44" s="29" t="n">
        <v>7.8</v>
      </c>
      <c r="B44" s="30" t="n">
        <v>111</v>
      </c>
      <c r="C44" s="30" t="n">
        <v>-41</v>
      </c>
      <c r="D44" s="30" t="n">
        <v>-59</v>
      </c>
      <c r="E44" s="30">
        <f>B44+C44+D44</f>
        <v/>
      </c>
      <c r="F44" s="31" t="n">
        <v>-0.1965</v>
      </c>
    </row>
    <row r="45">
      <c r="A45" s="29" t="n">
        <v>8</v>
      </c>
      <c r="B45" s="30" t="n">
        <v>117</v>
      </c>
      <c r="C45" s="30" t="n">
        <v>-31</v>
      </c>
      <c r="D45" s="30" t="n">
        <v>-53</v>
      </c>
      <c r="E45" s="30">
        <f>B45+C45+D45</f>
        <v/>
      </c>
      <c r="F45" s="31" t="n">
        <v>-0.1964</v>
      </c>
    </row>
    <row r="46">
      <c r="A46" s="29" t="n">
        <v>8.199999999999999</v>
      </c>
      <c r="B46" s="30" t="n">
        <v>113</v>
      </c>
      <c r="C46" s="30" t="n">
        <v>-30</v>
      </c>
      <c r="D46" s="30" t="n">
        <v>-55</v>
      </c>
      <c r="E46" s="30">
        <f>B46+C46+D46</f>
        <v/>
      </c>
      <c r="F46" s="31" t="n">
        <v>-0.1964</v>
      </c>
    </row>
    <row r="47">
      <c r="A47" s="29" t="n">
        <v>8.4</v>
      </c>
      <c r="B47" s="30" t="n">
        <v>116</v>
      </c>
      <c r="C47" s="30" t="n">
        <v>-30</v>
      </c>
      <c r="D47" s="30" t="n">
        <v>-58</v>
      </c>
      <c r="E47" s="30">
        <f>B47+C47+D47</f>
        <v/>
      </c>
      <c r="F47" s="31" t="n">
        <v>-0.198</v>
      </c>
    </row>
    <row r="48">
      <c r="A48" s="29" t="n">
        <v>8.6</v>
      </c>
      <c r="B48" s="30" t="n">
        <v>114</v>
      </c>
      <c r="C48" s="30" t="n">
        <v>-31</v>
      </c>
      <c r="D48" s="30" t="n">
        <v>-57</v>
      </c>
      <c r="E48" s="30">
        <f>B48+C48+D48</f>
        <v/>
      </c>
      <c r="F48" s="31" t="n">
        <v>-0.198</v>
      </c>
    </row>
    <row r="49">
      <c r="A49" s="29" t="n">
        <v>8.800000000000001</v>
      </c>
      <c r="B49" s="30" t="n">
        <v>113</v>
      </c>
      <c r="C49" s="30" t="n">
        <v>-30</v>
      </c>
      <c r="D49" s="30" t="n">
        <v>-55</v>
      </c>
      <c r="E49" s="30">
        <f>B49+C49+D49</f>
        <v/>
      </c>
      <c r="F49" s="31" t="n">
        <v>-0.1964</v>
      </c>
    </row>
    <row r="50">
      <c r="A50" s="29" t="n">
        <v>9</v>
      </c>
      <c r="B50" s="30" t="n">
        <v>109</v>
      </c>
      <c r="C50" s="30" t="n">
        <v>-32</v>
      </c>
      <c r="D50" s="30" t="n">
        <v>-59</v>
      </c>
      <c r="E50" s="30">
        <f>B50+C50+D50</f>
        <v/>
      </c>
      <c r="F50" s="31" t="n">
        <v>-0.1979</v>
      </c>
    </row>
    <row r="51">
      <c r="A51" s="29" t="n">
        <v>9.199999999999999</v>
      </c>
      <c r="B51" s="30" t="n">
        <v>158</v>
      </c>
      <c r="C51" s="30" t="n">
        <v>-31</v>
      </c>
      <c r="D51" s="30" t="n">
        <v>-58</v>
      </c>
      <c r="E51" s="30">
        <f>B51+C51+D51</f>
        <v/>
      </c>
      <c r="F51" s="31" t="n">
        <v>-0.1995</v>
      </c>
    </row>
    <row r="52">
      <c r="A52" s="29" t="n">
        <v>9.4</v>
      </c>
      <c r="B52" s="30" t="n">
        <v>111</v>
      </c>
      <c r="C52" s="30" t="n">
        <v>-33</v>
      </c>
      <c r="D52" s="30" t="n">
        <v>-56</v>
      </c>
      <c r="E52" s="30">
        <f>B52+C52+D52</f>
        <v/>
      </c>
      <c r="F52" s="31" t="n">
        <v>-0.1995</v>
      </c>
    </row>
    <row r="53">
      <c r="A53" s="29" t="n">
        <v>9.6</v>
      </c>
      <c r="B53" s="30" t="n">
        <v>113</v>
      </c>
      <c r="C53" s="30" t="n">
        <v>-32</v>
      </c>
      <c r="D53" s="30" t="n">
        <v>-50</v>
      </c>
      <c r="E53" s="30">
        <f>B53+C53+D53</f>
        <v/>
      </c>
      <c r="F53" s="31" t="n">
        <v>-0.1995</v>
      </c>
    </row>
    <row r="54">
      <c r="A54" s="29" t="n">
        <v>9.800000000000001</v>
      </c>
      <c r="B54" s="30" t="n">
        <v>110</v>
      </c>
      <c r="C54" s="30" t="n">
        <v>-29</v>
      </c>
      <c r="D54" s="30" t="n">
        <v>-57</v>
      </c>
      <c r="E54" s="30">
        <f>B54+C54+D54</f>
        <v/>
      </c>
      <c r="F54" s="31" t="n">
        <v>-0.1995</v>
      </c>
    </row>
    <row r="55">
      <c r="A55" s="29" t="n">
        <v>10</v>
      </c>
      <c r="B55" s="30" t="n">
        <v>112</v>
      </c>
      <c r="C55" s="30" t="n">
        <v>-32</v>
      </c>
      <c r="D55" s="30" t="n">
        <v>-53</v>
      </c>
      <c r="E55" s="30">
        <f>B55+C55+D55</f>
        <v/>
      </c>
      <c r="F55" s="31" t="n">
        <v>-0.201</v>
      </c>
    </row>
    <row r="56">
      <c r="A56" s="29" t="n">
        <v>10.2</v>
      </c>
      <c r="B56" s="30" t="n">
        <v>114</v>
      </c>
      <c r="C56" s="30" t="n">
        <v>-33</v>
      </c>
      <c r="D56" s="30" t="n">
        <v>-59</v>
      </c>
      <c r="E56" s="30">
        <f>B56+C56+D56</f>
        <v/>
      </c>
      <c r="F56" s="31" t="n">
        <v>-0.201</v>
      </c>
    </row>
    <row r="57">
      <c r="A57" s="29" t="n">
        <v>10.4</v>
      </c>
      <c r="B57" s="30" t="n">
        <v>99</v>
      </c>
      <c r="C57" s="30" t="n">
        <v>-35</v>
      </c>
      <c r="D57" s="30" t="n">
        <v>-57</v>
      </c>
      <c r="E57" s="30">
        <f>B57+C57+D57</f>
        <v/>
      </c>
      <c r="F57" s="31" t="n">
        <v>-0.201</v>
      </c>
    </row>
    <row r="58">
      <c r="A58" s="29" t="n">
        <v>10.6</v>
      </c>
      <c r="B58" s="30" t="n">
        <v>116</v>
      </c>
      <c r="C58" s="30" t="n">
        <v>-37</v>
      </c>
      <c r="D58" s="30" t="n">
        <v>-58</v>
      </c>
      <c r="E58" s="30">
        <f>B58+C58+D58</f>
        <v/>
      </c>
      <c r="F58" s="31" t="n">
        <v>-0.2026</v>
      </c>
    </row>
    <row r="59">
      <c r="A59" s="29" t="n">
        <v>10.8</v>
      </c>
      <c r="B59" s="30" t="n">
        <v>112</v>
      </c>
      <c r="C59" s="30" t="n">
        <v>-37</v>
      </c>
      <c r="D59" s="30" t="n">
        <v>-57</v>
      </c>
      <c r="E59" s="30">
        <f>B59+C59+D59</f>
        <v/>
      </c>
      <c r="F59" s="31" t="n">
        <v>-0.2026</v>
      </c>
    </row>
    <row r="60">
      <c r="A60" s="29" t="n">
        <v>11</v>
      </c>
      <c r="B60" s="30" t="n">
        <v>116</v>
      </c>
      <c r="C60" s="30" t="n">
        <v>-34</v>
      </c>
      <c r="D60" s="30" t="n">
        <v>-54</v>
      </c>
      <c r="E60" s="30">
        <f>B60+C60+D60</f>
        <v/>
      </c>
      <c r="F60" s="31" t="n">
        <v>-0.2025</v>
      </c>
    </row>
    <row r="61">
      <c r="A61" s="29" t="n">
        <v>11.2</v>
      </c>
      <c r="B61" s="30" t="n">
        <v>109</v>
      </c>
      <c r="C61" s="30" t="n">
        <v>-30</v>
      </c>
      <c r="D61" s="30" t="n">
        <v>-56</v>
      </c>
      <c r="E61" s="30">
        <f>B61+C61+D61</f>
        <v/>
      </c>
      <c r="F61" s="31" t="n">
        <v>-0.2025</v>
      </c>
    </row>
    <row r="62">
      <c r="A62" s="29" t="n">
        <v>11.4</v>
      </c>
      <c r="B62" s="30" t="n">
        <v>110</v>
      </c>
      <c r="C62" s="30" t="n">
        <v>-34</v>
      </c>
      <c r="D62" s="30" t="n">
        <v>-54</v>
      </c>
      <c r="E62" s="30">
        <f>B62+C62+D62</f>
        <v/>
      </c>
      <c r="F62" s="31" t="n">
        <v>-0.2041</v>
      </c>
    </row>
    <row r="63">
      <c r="A63" s="29" t="n">
        <v>11.6</v>
      </c>
      <c r="B63" s="30" t="n">
        <v>110</v>
      </c>
      <c r="C63" s="30" t="n">
        <v>-36</v>
      </c>
      <c r="D63" s="30" t="n">
        <v>-58</v>
      </c>
      <c r="E63" s="30">
        <f>B63+C63+D63</f>
        <v/>
      </c>
      <c r="F63" s="31" t="n">
        <v>-0.2041</v>
      </c>
    </row>
    <row r="64">
      <c r="A64" s="29" t="n">
        <v>11.8</v>
      </c>
      <c r="B64" s="30" t="n">
        <v>111</v>
      </c>
      <c r="C64" s="30" t="n">
        <v>-31</v>
      </c>
      <c r="D64" s="30" t="n">
        <v>-56</v>
      </c>
      <c r="E64" s="30">
        <f>B64+C64+D64</f>
        <v/>
      </c>
      <c r="F64" s="31" t="n">
        <v>-0.2057</v>
      </c>
    </row>
    <row r="65">
      <c r="A65" s="29" t="n">
        <v>12</v>
      </c>
      <c r="B65" s="30" t="n">
        <v>114</v>
      </c>
      <c r="C65" s="30" t="n">
        <v>-46</v>
      </c>
      <c r="D65" s="30" t="n">
        <v>-56</v>
      </c>
      <c r="E65" s="30">
        <f>B65+C65+D65</f>
        <v/>
      </c>
      <c r="F65" s="31" t="n">
        <v>-0.2056</v>
      </c>
    </row>
    <row r="66">
      <c r="A66" s="29" t="n">
        <v>12.2</v>
      </c>
      <c r="B66" s="30" t="n">
        <v>112</v>
      </c>
      <c r="C66" s="30" t="n">
        <v>-32</v>
      </c>
      <c r="D66" s="30" t="n">
        <v>-55</v>
      </c>
      <c r="E66" s="30">
        <f>B66+C66+D66</f>
        <v/>
      </c>
      <c r="F66" s="31" t="n">
        <v>-0.2041</v>
      </c>
    </row>
    <row r="67">
      <c r="A67" s="29" t="n">
        <v>12.4</v>
      </c>
      <c r="B67" s="30" t="n">
        <v>108</v>
      </c>
      <c r="C67" s="30" t="n">
        <v>-33</v>
      </c>
      <c r="D67" s="30" t="n">
        <v>-57</v>
      </c>
      <c r="E67" s="30">
        <f>B67+C67+D67</f>
        <v/>
      </c>
      <c r="F67" s="31" t="n">
        <v>-0.2056</v>
      </c>
    </row>
    <row r="68">
      <c r="A68" s="29" t="n">
        <v>12.6</v>
      </c>
      <c r="B68" s="30" t="n">
        <v>118</v>
      </c>
      <c r="C68" s="30" t="n">
        <v>-39</v>
      </c>
      <c r="D68" s="30" t="n">
        <v>-57</v>
      </c>
      <c r="E68" s="30">
        <f>B68+C68+D68</f>
        <v/>
      </c>
      <c r="F68" s="31" t="n">
        <v>-0.2056</v>
      </c>
    </row>
    <row r="69">
      <c r="A69" s="29" t="n">
        <v>12.8</v>
      </c>
      <c r="B69" s="30" t="n">
        <v>110</v>
      </c>
      <c r="C69" s="30" t="n">
        <v>-30</v>
      </c>
      <c r="D69" s="30" t="n">
        <v>-56</v>
      </c>
      <c r="E69" s="30">
        <f>B69+C69+D69</f>
        <v/>
      </c>
      <c r="F69" s="31" t="n">
        <v>-0.2071</v>
      </c>
    </row>
    <row r="70">
      <c r="A70" s="29" t="n">
        <v>13</v>
      </c>
      <c r="B70" s="30" t="n">
        <v>111</v>
      </c>
      <c r="C70" s="30" t="n">
        <v>-32</v>
      </c>
      <c r="D70" s="30" t="n">
        <v>-56</v>
      </c>
      <c r="E70" s="30">
        <f>B70+C70+D70</f>
        <v/>
      </c>
      <c r="F70" s="31" t="n">
        <v>-0.2071</v>
      </c>
    </row>
    <row r="71">
      <c r="A71" s="29" t="n">
        <v>13.2</v>
      </c>
      <c r="B71" s="30" t="n">
        <v>113</v>
      </c>
      <c r="C71" s="30" t="n">
        <v>-36</v>
      </c>
      <c r="D71" s="30" t="n">
        <v>-56</v>
      </c>
      <c r="E71" s="30">
        <f>B71+C71+D71</f>
        <v/>
      </c>
      <c r="F71" s="31" t="n">
        <v>-0.2071</v>
      </c>
    </row>
    <row r="72">
      <c r="A72" s="29" t="n">
        <v>13.4</v>
      </c>
      <c r="B72" s="30" t="n">
        <v>114</v>
      </c>
      <c r="C72" s="30" t="n">
        <v>-32</v>
      </c>
      <c r="D72" s="30" t="n">
        <v>-57</v>
      </c>
      <c r="E72" s="30">
        <f>B72+C72+D72</f>
        <v/>
      </c>
      <c r="F72" s="31" t="n">
        <v>-0.2072</v>
      </c>
    </row>
    <row r="73">
      <c r="A73" s="29" t="n">
        <v>13.6</v>
      </c>
      <c r="B73" s="30" t="n">
        <v>113</v>
      </c>
      <c r="C73" s="30" t="n">
        <v>-36</v>
      </c>
      <c r="D73" s="30" t="n">
        <v>-58</v>
      </c>
      <c r="E73" s="30">
        <f>B73+C73+D73</f>
        <v/>
      </c>
      <c r="F73" s="31" t="n">
        <v>-0.2088</v>
      </c>
    </row>
    <row r="74">
      <c r="A74" s="29" t="n">
        <v>13.8</v>
      </c>
      <c r="B74" s="30" t="n">
        <v>111</v>
      </c>
      <c r="C74" s="30" t="n">
        <v>-36</v>
      </c>
      <c r="D74" s="30" t="n">
        <v>-57</v>
      </c>
      <c r="E74" s="30">
        <f>B74+C74+D74</f>
        <v/>
      </c>
      <c r="F74" s="31" t="n">
        <v>-0.2086</v>
      </c>
    </row>
    <row r="75">
      <c r="A75" s="29" t="n">
        <v>14</v>
      </c>
      <c r="B75" s="30" t="n">
        <v>115</v>
      </c>
      <c r="C75" s="30" t="n">
        <v>-36</v>
      </c>
      <c r="D75" s="30" t="n">
        <v>-60</v>
      </c>
      <c r="E75" s="30">
        <f>B75+C75+D75</f>
        <v/>
      </c>
      <c r="F75" s="31" t="n">
        <v>-0.2087</v>
      </c>
    </row>
    <row r="76">
      <c r="A76" s="29" t="n">
        <v>14.2</v>
      </c>
      <c r="B76" s="30" t="n">
        <v>113</v>
      </c>
      <c r="C76" s="30" t="n">
        <v>-41</v>
      </c>
      <c r="D76" s="30" t="n">
        <v>-60</v>
      </c>
      <c r="E76" s="30">
        <f>B76+C76+D76</f>
        <v/>
      </c>
      <c r="F76" s="31" t="n">
        <v>-0.2102</v>
      </c>
    </row>
    <row r="77">
      <c r="A77" s="29" t="n">
        <v>14.4</v>
      </c>
      <c r="B77" s="30" t="n">
        <v>116</v>
      </c>
      <c r="C77" s="30" t="n">
        <v>-34</v>
      </c>
      <c r="D77" s="30" t="n">
        <v>-58</v>
      </c>
      <c r="E77" s="30">
        <f>B77+C77+D77</f>
        <v/>
      </c>
      <c r="F77" s="31" t="n">
        <v>-0.2102</v>
      </c>
    </row>
    <row r="78">
      <c r="A78" s="29" t="n">
        <v>14.6</v>
      </c>
      <c r="B78" s="30" t="n">
        <v>114</v>
      </c>
      <c r="C78" s="30" t="n">
        <v>-34</v>
      </c>
      <c r="D78" s="30" t="n">
        <v>-55</v>
      </c>
      <c r="E78" s="30">
        <f>B78+C78+D78</f>
        <v/>
      </c>
      <c r="F78" s="31" t="n">
        <v>-0.2103</v>
      </c>
    </row>
    <row r="79">
      <c r="A79" s="29" t="n">
        <v>14.8</v>
      </c>
      <c r="B79" s="30" t="n">
        <v>113</v>
      </c>
      <c r="C79" s="30" t="n">
        <v>-40</v>
      </c>
      <c r="D79" s="30" t="n">
        <v>-56</v>
      </c>
      <c r="E79" s="30">
        <f>B79+C79+D79</f>
        <v/>
      </c>
      <c r="F79" s="31" t="n">
        <v>-0.2102</v>
      </c>
    </row>
    <row r="80">
      <c r="A80" s="29" t="n">
        <v>15</v>
      </c>
      <c r="B80" s="30" t="n">
        <v>119</v>
      </c>
      <c r="C80" s="30" t="n">
        <v>-37</v>
      </c>
      <c r="D80" s="30" t="n">
        <v>-58</v>
      </c>
      <c r="E80" s="30">
        <f>B80+C80+D80</f>
        <v/>
      </c>
      <c r="F80" s="31" t="n">
        <v>-0.2117</v>
      </c>
    </row>
    <row r="81">
      <c r="A81" s="29" t="n">
        <v>15.2</v>
      </c>
      <c r="B81" s="30" t="n">
        <v>114</v>
      </c>
      <c r="C81" s="30" t="n">
        <v>-30</v>
      </c>
      <c r="D81" s="30" t="n">
        <v>-55</v>
      </c>
      <c r="E81" s="30">
        <f>B81+C81+D81</f>
        <v/>
      </c>
      <c r="F81" s="31" t="n">
        <v>-0.2118</v>
      </c>
    </row>
    <row r="82">
      <c r="A82" s="29" t="n">
        <v>15.4</v>
      </c>
      <c r="B82" s="30" t="n">
        <v>116</v>
      </c>
      <c r="C82" s="30" t="n">
        <v>-33</v>
      </c>
      <c r="D82" s="30" t="n">
        <v>-59</v>
      </c>
      <c r="E82" s="30">
        <f>B82+C82+D82</f>
        <v/>
      </c>
      <c r="F82" s="31" t="n">
        <v>-0.2118</v>
      </c>
    </row>
    <row r="83">
      <c r="A83" s="29" t="n">
        <v>15.6</v>
      </c>
      <c r="B83" s="30" t="n">
        <v>113</v>
      </c>
      <c r="C83" s="30" t="n">
        <v>-37</v>
      </c>
      <c r="D83" s="30" t="n">
        <v>-56</v>
      </c>
      <c r="E83" s="30">
        <f>B83+C83+D83</f>
        <v/>
      </c>
      <c r="F83" s="31" t="n">
        <v>-0.2118</v>
      </c>
    </row>
    <row r="84">
      <c r="A84" s="29" t="n">
        <v>15.8</v>
      </c>
      <c r="B84" s="30" t="n">
        <v>101</v>
      </c>
      <c r="C84" s="30" t="n">
        <v>-34</v>
      </c>
      <c r="D84" s="30" t="n">
        <v>-55</v>
      </c>
      <c r="E84" s="30">
        <f>B84+C84+D84</f>
        <v/>
      </c>
      <c r="F84" s="31" t="n">
        <v>-0.2117</v>
      </c>
    </row>
    <row r="85">
      <c r="A85" s="29" t="n">
        <v>16</v>
      </c>
      <c r="B85" s="30" t="n">
        <v>114</v>
      </c>
      <c r="C85" s="30" t="n">
        <v>-33</v>
      </c>
      <c r="D85" s="30" t="n">
        <v>-55</v>
      </c>
      <c r="E85" s="30">
        <f>B85+C85+D85</f>
        <v/>
      </c>
      <c r="F85" s="31" t="n">
        <v>-0.2133</v>
      </c>
    </row>
    <row r="86">
      <c r="A86" s="29" t="n">
        <v>16.2</v>
      </c>
      <c r="B86" s="30" t="n">
        <v>113</v>
      </c>
      <c r="C86" s="30" t="n">
        <v>-33</v>
      </c>
      <c r="D86" s="30" t="n">
        <v>-59</v>
      </c>
      <c r="E86" s="30">
        <f>B86+C86+D86</f>
        <v/>
      </c>
      <c r="F86" s="31" t="n">
        <v>-0.2148</v>
      </c>
    </row>
    <row r="87">
      <c r="A87" s="29" t="n">
        <v>16.4</v>
      </c>
      <c r="B87" s="30" t="n">
        <v>113</v>
      </c>
      <c r="C87" s="30" t="n">
        <v>-32</v>
      </c>
      <c r="D87" s="30" t="n">
        <v>-57</v>
      </c>
      <c r="E87" s="30">
        <f>B87+C87+D87</f>
        <v/>
      </c>
      <c r="F87" s="31" t="n">
        <v>-0.2149</v>
      </c>
    </row>
    <row r="88">
      <c r="A88" s="29" t="n">
        <v>16.6</v>
      </c>
      <c r="B88" s="30" t="n">
        <v>112</v>
      </c>
      <c r="C88" s="30" t="n">
        <v>-34</v>
      </c>
      <c r="D88" s="30" t="n">
        <v>-61</v>
      </c>
      <c r="E88" s="30">
        <f>B88+C88+D88</f>
        <v/>
      </c>
      <c r="F88" s="31" t="n">
        <v>-0.2133</v>
      </c>
    </row>
    <row r="89">
      <c r="A89" s="29" t="n">
        <v>16.8</v>
      </c>
      <c r="B89" s="30" t="n">
        <v>112</v>
      </c>
      <c r="C89" s="30" t="n">
        <v>-33</v>
      </c>
      <c r="D89" s="30" t="n">
        <v>-58</v>
      </c>
      <c r="E89" s="30">
        <f>B89+C89+D89</f>
        <v/>
      </c>
      <c r="F89" s="31" t="n">
        <v>-0.2148</v>
      </c>
    </row>
    <row r="90">
      <c r="A90" s="29" t="n">
        <v>17</v>
      </c>
      <c r="B90" s="30" t="n">
        <v>117</v>
      </c>
      <c r="C90" s="30" t="n">
        <v>-37</v>
      </c>
      <c r="D90" s="30" t="n">
        <v>-58</v>
      </c>
      <c r="E90" s="30">
        <f>B90+C90+D90</f>
        <v/>
      </c>
      <c r="F90" s="31" t="n">
        <v>-0.2148</v>
      </c>
    </row>
    <row r="91">
      <c r="A91" s="29" t="n">
        <v>17.2</v>
      </c>
      <c r="B91" s="30" t="n">
        <v>108</v>
      </c>
      <c r="C91" s="30" t="n">
        <v>-32</v>
      </c>
      <c r="D91" s="30" t="n">
        <v>-61</v>
      </c>
      <c r="E91" s="30">
        <f>B91+C91+D91</f>
        <v/>
      </c>
      <c r="F91" s="31" t="n">
        <v>-0.2164</v>
      </c>
    </row>
    <row r="92">
      <c r="A92" s="29" t="n">
        <v>17.4</v>
      </c>
      <c r="B92" s="30" t="n">
        <v>116</v>
      </c>
      <c r="C92" s="30" t="n">
        <v>-38</v>
      </c>
      <c r="D92" s="30" t="n">
        <v>-56</v>
      </c>
      <c r="E92" s="30">
        <f>B92+C92+D92</f>
        <v/>
      </c>
      <c r="F92" s="31" t="n">
        <v>-0.2164</v>
      </c>
    </row>
    <row r="93">
      <c r="A93" s="29" t="n">
        <v>17.6</v>
      </c>
      <c r="B93" s="30" t="n">
        <v>113</v>
      </c>
      <c r="C93" s="30" t="n">
        <v>-39</v>
      </c>
      <c r="D93" s="30" t="n">
        <v>-58</v>
      </c>
      <c r="E93" s="30">
        <f>B93+C93+D93</f>
        <v/>
      </c>
      <c r="F93" s="31" t="n">
        <v>-0.2164</v>
      </c>
    </row>
    <row r="94">
      <c r="A94" s="29" t="n">
        <v>17.8</v>
      </c>
      <c r="B94" s="30" t="n">
        <v>118</v>
      </c>
      <c r="C94" s="30" t="n">
        <v>-33</v>
      </c>
      <c r="D94" s="30" t="n">
        <v>-58</v>
      </c>
      <c r="E94" s="30">
        <f>B94+C94+D94</f>
        <v/>
      </c>
      <c r="F94" s="31" t="n">
        <v>-0.2163</v>
      </c>
    </row>
    <row r="95">
      <c r="A95" s="29" t="n">
        <v>18</v>
      </c>
      <c r="B95" s="30" t="n">
        <v>114</v>
      </c>
      <c r="C95" s="30" t="n">
        <v>-32</v>
      </c>
      <c r="D95" s="30" t="n">
        <v>-58</v>
      </c>
      <c r="E95" s="30">
        <f>B95+C95+D95</f>
        <v/>
      </c>
      <c r="F95" s="31" t="n">
        <v>-0.2163</v>
      </c>
    </row>
    <row r="96">
      <c r="A96" s="29" t="n">
        <v>18.2</v>
      </c>
      <c r="B96" s="30" t="n">
        <v>110</v>
      </c>
      <c r="C96" s="30" t="n">
        <v>-34</v>
      </c>
      <c r="D96" s="30" t="n">
        <v>-58</v>
      </c>
      <c r="E96" s="30">
        <f>B96+C96+D96</f>
        <v/>
      </c>
      <c r="F96" s="31" t="n">
        <v>-0.2163</v>
      </c>
    </row>
    <row r="97">
      <c r="A97" s="29" t="n">
        <v>18.4</v>
      </c>
      <c r="B97" s="30" t="n">
        <v>113</v>
      </c>
      <c r="C97" s="30" t="n">
        <v>-32</v>
      </c>
      <c r="D97" s="30" t="n">
        <v>-59</v>
      </c>
      <c r="E97" s="30">
        <f>B97+C97+D97</f>
        <v/>
      </c>
      <c r="F97" s="31" t="n">
        <v>-0.2179</v>
      </c>
    </row>
    <row r="98">
      <c r="A98" s="29" t="n">
        <v>18.6</v>
      </c>
      <c r="B98" s="30" t="n">
        <v>116</v>
      </c>
      <c r="C98" s="30" t="n">
        <v>-42</v>
      </c>
      <c r="D98" s="30" t="n">
        <v>-58</v>
      </c>
      <c r="E98" s="30">
        <f>B98+C98+D98</f>
        <v/>
      </c>
      <c r="F98" s="31" t="n">
        <v>-0.2179</v>
      </c>
    </row>
    <row r="99">
      <c r="A99" s="29" t="n">
        <v>18.8</v>
      </c>
      <c r="B99" s="30" t="n">
        <v>112</v>
      </c>
      <c r="C99" s="30" t="n">
        <v>-41</v>
      </c>
      <c r="D99" s="30" t="n">
        <v>-58</v>
      </c>
      <c r="E99" s="30">
        <f>B99+C99+D99</f>
        <v/>
      </c>
      <c r="F99" s="31" t="n">
        <v>-0.2178</v>
      </c>
    </row>
    <row r="100">
      <c r="A100" s="29" t="n">
        <v>19</v>
      </c>
      <c r="B100" s="30" t="n">
        <v>113</v>
      </c>
      <c r="C100" s="30" t="n">
        <v>-33</v>
      </c>
      <c r="D100" s="30" t="n">
        <v>-58</v>
      </c>
      <c r="E100" s="30">
        <f>B100+C100+D100</f>
        <v/>
      </c>
      <c r="F100" s="31" t="n">
        <v>-0.2179</v>
      </c>
    </row>
    <row r="101">
      <c r="A101" s="29" t="n">
        <v>19.2</v>
      </c>
      <c r="B101" s="30" t="n">
        <v>113</v>
      </c>
      <c r="C101" s="30" t="n">
        <v>-34</v>
      </c>
      <c r="D101" s="30" t="n">
        <v>-61</v>
      </c>
      <c r="E101" s="30">
        <f>B101+C101+D101</f>
        <v/>
      </c>
      <c r="F101" s="31" t="n">
        <v>-0.2194</v>
      </c>
    </row>
    <row r="102">
      <c r="A102" s="29" t="n">
        <v>19.4</v>
      </c>
      <c r="B102" s="30" t="n">
        <v>116</v>
      </c>
      <c r="C102" s="30" t="n">
        <v>-29</v>
      </c>
      <c r="D102" s="30" t="n">
        <v>-55</v>
      </c>
      <c r="E102" s="30">
        <f>B102+C102+D102</f>
        <v/>
      </c>
      <c r="F102" s="31" t="n">
        <v>-0.2179</v>
      </c>
    </row>
    <row r="103">
      <c r="A103" s="29" t="n">
        <v>19.6</v>
      </c>
      <c r="B103" s="30" t="n">
        <v>102</v>
      </c>
      <c r="C103" s="30" t="n">
        <v>-36</v>
      </c>
      <c r="D103" s="30" t="n">
        <v>-60</v>
      </c>
      <c r="E103" s="30">
        <f>B103+C103+D103</f>
        <v/>
      </c>
      <c r="F103" s="31" t="n">
        <v>-0.2195</v>
      </c>
    </row>
    <row r="104">
      <c r="A104" s="29" t="n">
        <v>19.8</v>
      </c>
      <c r="B104" s="30" t="n">
        <v>113</v>
      </c>
      <c r="C104" s="30" t="n">
        <v>-30</v>
      </c>
      <c r="D104" s="30" t="n">
        <v>-60</v>
      </c>
      <c r="E104" s="30">
        <f>B104+C104+D104</f>
        <v/>
      </c>
      <c r="F104" s="31" t="n">
        <v>-0.2194</v>
      </c>
    </row>
    <row r="105">
      <c r="A105" s="29" t="n">
        <v>20</v>
      </c>
      <c r="B105" s="30" t="n">
        <v>114</v>
      </c>
      <c r="C105" s="30" t="n">
        <v>-32</v>
      </c>
      <c r="D105" s="30" t="n">
        <v>-56</v>
      </c>
      <c r="E105" s="30">
        <f>B105+C105+D105</f>
        <v/>
      </c>
      <c r="F105" s="31" t="n">
        <v>-0.2194</v>
      </c>
    </row>
    <row r="106">
      <c r="A106" s="29" t="n">
        <v>20.2</v>
      </c>
      <c r="B106" s="30" t="n">
        <v>115</v>
      </c>
      <c r="C106" s="30" t="n">
        <v>-35</v>
      </c>
      <c r="D106" s="30" t="n">
        <v>-59</v>
      </c>
      <c r="E106" s="30">
        <f>B106+C106+D106</f>
        <v/>
      </c>
      <c r="F106" s="31" t="n">
        <v>-0.2194</v>
      </c>
    </row>
    <row r="107">
      <c r="A107" s="29" t="n">
        <v>20.4</v>
      </c>
      <c r="B107" s="30" t="n">
        <v>114</v>
      </c>
      <c r="C107" s="30" t="n">
        <v>-31</v>
      </c>
      <c r="D107" s="30" t="n">
        <v>-58</v>
      </c>
      <c r="E107" s="30">
        <f>B107+C107+D107</f>
        <v/>
      </c>
      <c r="F107" s="31" t="n">
        <v>-0.221</v>
      </c>
    </row>
    <row r="108">
      <c r="A108" s="29" t="n">
        <v>20.6</v>
      </c>
      <c r="B108" s="30" t="n">
        <v>113</v>
      </c>
      <c r="C108" s="30" t="n">
        <v>-29</v>
      </c>
      <c r="D108" s="30" t="n">
        <v>-59</v>
      </c>
      <c r="E108" s="30">
        <f>B108+C108+D108</f>
        <v/>
      </c>
      <c r="F108" s="31" t="n">
        <v>-0.221</v>
      </c>
    </row>
    <row r="109">
      <c r="A109" s="29" t="n">
        <v>20.8</v>
      </c>
      <c r="B109" s="30" t="n">
        <v>108</v>
      </c>
      <c r="C109" s="30" t="n">
        <v>-33</v>
      </c>
      <c r="D109" s="30" t="n">
        <v>-58</v>
      </c>
      <c r="E109" s="30">
        <f>B109+C109+D109</f>
        <v/>
      </c>
      <c r="F109" s="31" t="n">
        <v>-0.2209</v>
      </c>
    </row>
    <row r="110">
      <c r="A110" s="29" t="n">
        <v>21</v>
      </c>
      <c r="B110" s="30" t="n">
        <v>114</v>
      </c>
      <c r="C110" s="30" t="n">
        <v>-30</v>
      </c>
      <c r="D110" s="30" t="n">
        <v>-58</v>
      </c>
      <c r="E110" s="30">
        <f>B110+C110+D110</f>
        <v/>
      </c>
      <c r="F110" s="31" t="n">
        <v>-0.2209</v>
      </c>
    </row>
    <row r="111">
      <c r="A111" s="29" t="n">
        <v>21.2</v>
      </c>
      <c r="B111" s="30" t="n">
        <v>116</v>
      </c>
      <c r="C111" s="30" t="n">
        <v>-31</v>
      </c>
      <c r="D111" s="30" t="n">
        <v>-58</v>
      </c>
      <c r="E111" s="30">
        <f>B111+C111+D111</f>
        <v/>
      </c>
      <c r="F111" s="31" t="n">
        <v>-0.2209</v>
      </c>
    </row>
    <row r="112">
      <c r="A112" s="29" t="n">
        <v>21.4</v>
      </c>
      <c r="B112" s="30" t="n">
        <v>115</v>
      </c>
      <c r="C112" s="30" t="n">
        <v>-33</v>
      </c>
      <c r="D112" s="30" t="n">
        <v>-60</v>
      </c>
      <c r="E112" s="30">
        <f>B112+C112+D112</f>
        <v/>
      </c>
      <c r="F112" s="31" t="n">
        <v>-0.2209</v>
      </c>
    </row>
    <row r="113">
      <c r="A113" s="29" t="n">
        <v>21.6</v>
      </c>
      <c r="B113" s="30" t="n">
        <v>115</v>
      </c>
      <c r="C113" s="30" t="n">
        <v>-29</v>
      </c>
      <c r="D113" s="30" t="n">
        <v>-60</v>
      </c>
      <c r="E113" s="30">
        <f>B113+C113+D113</f>
        <v/>
      </c>
      <c r="F113" s="31" t="n">
        <v>-0.221</v>
      </c>
    </row>
    <row r="114">
      <c r="A114" s="29" t="n">
        <v>21.8</v>
      </c>
      <c r="B114" s="30" t="n">
        <v>114</v>
      </c>
      <c r="C114" s="30" t="n">
        <v>-38</v>
      </c>
      <c r="D114" s="30" t="n">
        <v>-60</v>
      </c>
      <c r="E114" s="30">
        <f>B114+C114+D114</f>
        <v/>
      </c>
      <c r="F114" s="31" t="n">
        <v>-0.2209</v>
      </c>
    </row>
    <row r="115">
      <c r="A115" s="29" t="n">
        <v>22</v>
      </c>
      <c r="B115" s="30" t="n">
        <v>111</v>
      </c>
      <c r="C115" s="30" t="n">
        <v>-27</v>
      </c>
      <c r="D115" s="30" t="n">
        <v>-61</v>
      </c>
      <c r="E115" s="30">
        <f>B115+C115+D115</f>
        <v/>
      </c>
      <c r="F115" s="31" t="n">
        <v>-0.2225</v>
      </c>
    </row>
    <row r="116">
      <c r="A116" s="29" t="n">
        <v>22.2</v>
      </c>
      <c r="B116" s="30" t="n">
        <v>117</v>
      </c>
      <c r="C116" s="30" t="n">
        <v>-30</v>
      </c>
      <c r="D116" s="30" t="n">
        <v>-61</v>
      </c>
      <c r="E116" s="30">
        <f>B116+C116+D116</f>
        <v/>
      </c>
      <c r="F116" s="31" t="n">
        <v>-0.2225</v>
      </c>
    </row>
    <row r="117">
      <c r="A117" s="29" t="n">
        <v>22.4</v>
      </c>
      <c r="B117" s="30" t="n">
        <v>117</v>
      </c>
      <c r="C117" s="30" t="n">
        <v>-30</v>
      </c>
      <c r="D117" s="30" t="n">
        <v>-59</v>
      </c>
      <c r="E117" s="30">
        <f>B117+C117+D117</f>
        <v/>
      </c>
      <c r="F117" s="31" t="n">
        <v>-0.2225</v>
      </c>
    </row>
    <row r="118">
      <c r="A118" s="29" t="n">
        <v>22.6</v>
      </c>
      <c r="B118" s="30" t="n">
        <v>116</v>
      </c>
      <c r="C118" s="30" t="n">
        <v>-30</v>
      </c>
      <c r="D118" s="30" t="n">
        <v>-59</v>
      </c>
      <c r="E118" s="30">
        <f>B118+C118+D118</f>
        <v/>
      </c>
      <c r="F118" s="31" t="n">
        <v>-0.2225</v>
      </c>
    </row>
    <row r="119">
      <c r="A119" s="29" t="n">
        <v>22.8</v>
      </c>
      <c r="B119" s="30" t="n">
        <v>116</v>
      </c>
      <c r="C119" s="30" t="n">
        <v>-32</v>
      </c>
      <c r="D119" s="30" t="n">
        <v>-61</v>
      </c>
      <c r="E119" s="30">
        <f>B119+C119+D119</f>
        <v/>
      </c>
      <c r="F119" s="31" t="n">
        <v>-0.2224</v>
      </c>
    </row>
    <row r="120">
      <c r="A120" s="29" t="n">
        <v>23</v>
      </c>
      <c r="B120" s="30" t="n">
        <v>115</v>
      </c>
      <c r="C120" s="30" t="n">
        <v>-30</v>
      </c>
      <c r="D120" s="30" t="n">
        <v>-58</v>
      </c>
      <c r="E120" s="30">
        <f>B120+C120+D120</f>
        <v/>
      </c>
      <c r="F120" s="31" t="n">
        <v>-0.2225</v>
      </c>
    </row>
    <row r="121">
      <c r="A121" s="29" t="n">
        <v>23.2</v>
      </c>
      <c r="B121" s="30" t="n">
        <v>115</v>
      </c>
      <c r="C121" s="30" t="n">
        <v>-30</v>
      </c>
      <c r="D121" s="30" t="n">
        <v>-64</v>
      </c>
      <c r="E121" s="30">
        <f>B121+C121+D121</f>
        <v/>
      </c>
      <c r="F121" s="31" t="n">
        <v>-0.2225</v>
      </c>
    </row>
    <row r="122">
      <c r="A122" s="29" t="n">
        <v>23.4</v>
      </c>
      <c r="B122" s="30" t="n">
        <v>117</v>
      </c>
      <c r="C122" s="30" t="n">
        <v>-30</v>
      </c>
      <c r="D122" s="30" t="n">
        <v>-60</v>
      </c>
      <c r="E122" s="30">
        <f>B122+C122+D122</f>
        <v/>
      </c>
      <c r="F122" s="31" t="n">
        <v>-0.2225</v>
      </c>
    </row>
    <row r="123">
      <c r="A123" s="29" t="n">
        <v>23.6</v>
      </c>
      <c r="B123" s="30" t="n">
        <v>114</v>
      </c>
      <c r="C123" s="30" t="n">
        <v>-30</v>
      </c>
      <c r="D123" s="30" t="n">
        <v>-61</v>
      </c>
      <c r="E123" s="30">
        <f>B123+C123+D123</f>
        <v/>
      </c>
      <c r="F123" s="31" t="n">
        <v>-0.2225</v>
      </c>
    </row>
    <row r="124">
      <c r="A124" s="29" t="n">
        <v>23.8</v>
      </c>
      <c r="B124" s="30" t="n">
        <v>115</v>
      </c>
      <c r="C124" s="30" t="n">
        <v>-30</v>
      </c>
      <c r="D124" s="30" t="n">
        <v>-57</v>
      </c>
      <c r="E124" s="30">
        <f>B124+C124+D124</f>
        <v/>
      </c>
      <c r="F124" s="31" t="n">
        <v>-0.2178</v>
      </c>
    </row>
    <row r="125">
      <c r="A125" s="29" t="n">
        <v>24</v>
      </c>
      <c r="B125" s="30" t="n">
        <v>115</v>
      </c>
      <c r="C125" s="30" t="n">
        <v>-30</v>
      </c>
      <c r="D125" s="30" t="n">
        <v>-65</v>
      </c>
      <c r="E125" s="30">
        <f>B125+C125+D125</f>
        <v/>
      </c>
      <c r="F125" s="31" t="n">
        <v>-0.224</v>
      </c>
    </row>
    <row r="126">
      <c r="A126" s="29" t="n">
        <v>24.2</v>
      </c>
      <c r="B126" s="30" t="n">
        <v>108</v>
      </c>
      <c r="C126" s="30" t="n">
        <v>-32</v>
      </c>
      <c r="D126" s="30" t="n">
        <v>-60</v>
      </c>
      <c r="E126" s="30">
        <f>B126+C126+D126</f>
        <v/>
      </c>
      <c r="F126" s="31" t="n">
        <v>-0.224</v>
      </c>
    </row>
    <row r="127">
      <c r="A127" s="29" t="n">
        <v>24.4</v>
      </c>
      <c r="B127" s="30" t="n">
        <v>113</v>
      </c>
      <c r="C127" s="30" t="n">
        <v>-30</v>
      </c>
      <c r="D127" s="30" t="n">
        <v>-64</v>
      </c>
      <c r="E127" s="30">
        <f>B127+C127+D127</f>
        <v/>
      </c>
      <c r="F127" s="31" t="n">
        <v>-0.2225</v>
      </c>
    </row>
    <row r="128">
      <c r="A128" s="29" t="n">
        <v>24.6</v>
      </c>
      <c r="B128" s="30" t="n">
        <v>116</v>
      </c>
      <c r="C128" s="30" t="n">
        <v>-33</v>
      </c>
      <c r="D128" s="30" t="n">
        <v>-58</v>
      </c>
      <c r="E128" s="30">
        <f>B128+C128+D128</f>
        <v/>
      </c>
      <c r="F128" s="31" t="n">
        <v>-0.2225</v>
      </c>
    </row>
    <row r="129">
      <c r="A129" s="29" t="n">
        <v>24.8</v>
      </c>
      <c r="B129" s="30" t="n">
        <v>113</v>
      </c>
      <c r="C129" s="30" t="n">
        <v>-30</v>
      </c>
      <c r="D129" s="30" t="n">
        <v>-59</v>
      </c>
      <c r="E129" s="30">
        <f>B129+C129+D129</f>
        <v/>
      </c>
      <c r="F129" s="31" t="n">
        <v>-0.2224</v>
      </c>
    </row>
    <row r="130">
      <c r="A130" s="29" t="n">
        <v>25</v>
      </c>
      <c r="B130" s="30" t="n">
        <v>116</v>
      </c>
      <c r="C130" s="30" t="n">
        <v>-39</v>
      </c>
      <c r="D130" s="30" t="n">
        <v>-60</v>
      </c>
      <c r="E130" s="30">
        <f>B130+C130+D130</f>
        <v/>
      </c>
      <c r="F130" s="31" t="n">
        <v>-0.2224</v>
      </c>
    </row>
    <row r="131">
      <c r="A131" s="29" t="n">
        <v>25.2</v>
      </c>
      <c r="B131" s="30" t="n">
        <v>118</v>
      </c>
      <c r="C131" s="30" t="n">
        <v>-37</v>
      </c>
      <c r="D131" s="30" t="n">
        <v>-64</v>
      </c>
      <c r="E131" s="30">
        <f>B131+C131+D131</f>
        <v/>
      </c>
      <c r="F131" s="31" t="n">
        <v>-0.224</v>
      </c>
    </row>
    <row r="132">
      <c r="A132" s="29" t="n">
        <v>25.4</v>
      </c>
      <c r="B132" s="30" t="n">
        <v>110</v>
      </c>
      <c r="C132" s="30" t="n">
        <v>-36</v>
      </c>
      <c r="D132" s="30" t="n">
        <v>-63</v>
      </c>
      <c r="E132" s="30">
        <f>B132+C132+D132</f>
        <v/>
      </c>
      <c r="F132" s="31" t="n">
        <v>-0.2224</v>
      </c>
    </row>
    <row r="133">
      <c r="A133" s="29" t="n">
        <v>25.6</v>
      </c>
      <c r="B133" s="30" t="n">
        <v>113</v>
      </c>
      <c r="C133" s="30" t="n">
        <v>-30</v>
      </c>
      <c r="D133" s="30" t="n">
        <v>-60</v>
      </c>
      <c r="E133" s="30">
        <f>B133+C133+D133</f>
        <v/>
      </c>
      <c r="F133" s="31" t="n">
        <v>-0.2224</v>
      </c>
    </row>
    <row r="134">
      <c r="A134" s="29" t="n">
        <v>25.8</v>
      </c>
      <c r="B134" s="30" t="n">
        <v>114</v>
      </c>
      <c r="C134" s="30" t="n">
        <v>-27</v>
      </c>
      <c r="D134" s="30" t="n">
        <v>-64</v>
      </c>
      <c r="E134" s="30">
        <f>B134+C134+D134</f>
        <v/>
      </c>
      <c r="F134" s="31" t="n">
        <v>-0.224</v>
      </c>
    </row>
    <row r="135">
      <c r="A135" s="29" t="n">
        <v>26</v>
      </c>
      <c r="B135" s="30" t="n">
        <v>115</v>
      </c>
      <c r="C135" s="30" t="n">
        <v>-28</v>
      </c>
      <c r="D135" s="30" t="n">
        <v>-60</v>
      </c>
      <c r="E135" s="30">
        <f>B135+C135+D135</f>
        <v/>
      </c>
      <c r="F135" s="31" t="n">
        <v>-0.224</v>
      </c>
    </row>
    <row r="136">
      <c r="A136" s="29" t="n">
        <v>26.2</v>
      </c>
      <c r="B136" s="30" t="n">
        <v>117</v>
      </c>
      <c r="C136" s="30" t="n">
        <v>-31</v>
      </c>
      <c r="D136" s="30" t="n">
        <v>-61</v>
      </c>
      <c r="E136" s="30">
        <f>B136+C136+D136</f>
        <v/>
      </c>
      <c r="F136" s="31" t="n">
        <v>-0.2271</v>
      </c>
    </row>
    <row r="137">
      <c r="A137" s="29" t="n">
        <v>26.4</v>
      </c>
      <c r="B137" s="30" t="n">
        <v>115</v>
      </c>
      <c r="C137" s="30" t="n">
        <v>-30</v>
      </c>
      <c r="D137" s="30" t="n">
        <v>-62</v>
      </c>
      <c r="E137" s="30">
        <f>B137+C137+D137</f>
        <v/>
      </c>
      <c r="F137" s="31" t="n">
        <v>-0.224</v>
      </c>
    </row>
    <row r="138">
      <c r="A138" s="29" t="n">
        <v>26.6</v>
      </c>
      <c r="B138" s="30" t="n">
        <v>110</v>
      </c>
      <c r="C138" s="30" t="n">
        <v>-30</v>
      </c>
      <c r="D138" s="30" t="n">
        <v>-65</v>
      </c>
      <c r="E138" s="30">
        <f>B138+C138+D138</f>
        <v/>
      </c>
      <c r="F138" s="31" t="n">
        <v>-0.224</v>
      </c>
    </row>
    <row r="139">
      <c r="A139" s="29" t="n">
        <v>26.8</v>
      </c>
      <c r="B139" s="30" t="n">
        <v>122</v>
      </c>
      <c r="C139" s="30" t="n">
        <v>-30</v>
      </c>
      <c r="D139" s="30" t="n">
        <v>-61</v>
      </c>
      <c r="E139" s="30">
        <f>B139+C139+D139</f>
        <v/>
      </c>
      <c r="F139" s="31" t="n">
        <v>-0.224</v>
      </c>
    </row>
    <row r="140">
      <c r="A140" s="29" t="n">
        <v>27</v>
      </c>
      <c r="B140" s="30" t="n">
        <v>110</v>
      </c>
      <c r="C140" s="30" t="n">
        <v>-30</v>
      </c>
      <c r="D140" s="30" t="n">
        <v>-64</v>
      </c>
      <c r="E140" s="30">
        <f>B140+C140+D140</f>
        <v/>
      </c>
      <c r="F140" s="31" t="n">
        <v>-0.224</v>
      </c>
    </row>
    <row r="141">
      <c r="A141" s="29" t="n">
        <v>27.2</v>
      </c>
      <c r="B141" s="30" t="n">
        <v>116</v>
      </c>
      <c r="C141" s="30" t="n">
        <v>-30</v>
      </c>
      <c r="D141" s="30" t="n">
        <v>-64</v>
      </c>
      <c r="E141" s="30">
        <f>B141+C141+D141</f>
        <v/>
      </c>
      <c r="F141" s="31" t="n">
        <v>-0.224</v>
      </c>
    </row>
    <row r="142">
      <c r="A142" s="29" t="n">
        <v>27.4</v>
      </c>
      <c r="B142" s="30" t="n">
        <v>114</v>
      </c>
      <c r="C142" s="30" t="n">
        <v>-33</v>
      </c>
      <c r="D142" s="30" t="n">
        <v>-64</v>
      </c>
      <c r="E142" s="30">
        <f>B142+C142+D142</f>
        <v/>
      </c>
      <c r="F142" s="31" t="n">
        <v>-0.224</v>
      </c>
    </row>
    <row r="143">
      <c r="A143" s="29" t="n">
        <v>27.6</v>
      </c>
      <c r="B143" s="30" t="n">
        <v>118</v>
      </c>
      <c r="C143" s="30" t="n">
        <v>-33</v>
      </c>
      <c r="D143" s="30" t="n">
        <v>-64</v>
      </c>
      <c r="E143" s="30">
        <f>B143+C143+D143</f>
        <v/>
      </c>
      <c r="F143" s="31" t="n">
        <v>-0.224</v>
      </c>
    </row>
    <row r="144">
      <c r="A144" s="29" t="n">
        <v>27.8</v>
      </c>
      <c r="B144" s="30" t="n">
        <v>115</v>
      </c>
      <c r="C144" s="30" t="n">
        <v>-27</v>
      </c>
      <c r="D144" s="30" t="n">
        <v>-62</v>
      </c>
      <c r="E144" s="30">
        <f>B144+C144+D144</f>
        <v/>
      </c>
      <c r="F144" s="31" t="n">
        <v>-0.224</v>
      </c>
    </row>
    <row r="145">
      <c r="A145" s="29" t="n">
        <v>28</v>
      </c>
      <c r="B145" s="30" t="n">
        <v>113</v>
      </c>
      <c r="C145" s="30" t="n">
        <v>-28</v>
      </c>
      <c r="D145" s="30" t="n">
        <v>-64</v>
      </c>
      <c r="E145" s="30">
        <f>B145+C145+D145</f>
        <v/>
      </c>
      <c r="F145" s="31" t="n">
        <v>-0.2224</v>
      </c>
    </row>
    <row r="146">
      <c r="A146" s="29" t="n">
        <v>28.2</v>
      </c>
      <c r="B146" s="30" t="n">
        <v>114</v>
      </c>
      <c r="C146" s="30" t="n">
        <v>-38</v>
      </c>
      <c r="D146" s="30" t="n">
        <v>-67</v>
      </c>
      <c r="E146" s="30">
        <f>B146+C146+D146</f>
        <v/>
      </c>
      <c r="F146" s="31" t="n">
        <v>-0.2224</v>
      </c>
    </row>
    <row r="147">
      <c r="A147" s="29" t="n">
        <v>28.4</v>
      </c>
      <c r="B147" s="30" t="n">
        <v>113</v>
      </c>
      <c r="C147" s="30" t="n">
        <v>-28</v>
      </c>
      <c r="D147" s="30" t="n">
        <v>-62</v>
      </c>
      <c r="E147" s="30">
        <f>B147+C147+D147</f>
        <v/>
      </c>
      <c r="F147" s="31" t="n">
        <v>-0.224</v>
      </c>
    </row>
    <row r="148">
      <c r="A148" s="29" t="n">
        <v>28.6</v>
      </c>
      <c r="B148" s="30" t="n">
        <v>118</v>
      </c>
      <c r="C148" s="30" t="n">
        <v>-29</v>
      </c>
      <c r="D148" s="30" t="n">
        <v>-61</v>
      </c>
      <c r="E148" s="30">
        <f>B148+C148+D148</f>
        <v/>
      </c>
      <c r="F148" s="31" t="n">
        <v>-0.224</v>
      </c>
    </row>
    <row r="149">
      <c r="A149" s="29" t="n">
        <v>28.8</v>
      </c>
      <c r="B149" s="30" t="n">
        <v>114</v>
      </c>
      <c r="C149" s="30" t="n">
        <v>-30</v>
      </c>
      <c r="D149" s="30" t="n">
        <v>-68</v>
      </c>
      <c r="E149" s="30">
        <f>B149+C149+D149</f>
        <v/>
      </c>
      <c r="F149" s="31" t="n">
        <v>-0.2224</v>
      </c>
    </row>
    <row r="150">
      <c r="A150" s="29" t="n">
        <v>29</v>
      </c>
      <c r="B150" s="30" t="n">
        <v>116</v>
      </c>
      <c r="C150" s="30" t="n">
        <v>-33</v>
      </c>
      <c r="D150" s="30" t="n">
        <v>-66</v>
      </c>
      <c r="E150" s="30">
        <f>B150+C150+D150</f>
        <v/>
      </c>
      <c r="F150" s="31" t="n">
        <v>-0.2224</v>
      </c>
    </row>
    <row r="151">
      <c r="A151" s="29" t="n">
        <v>29.2</v>
      </c>
      <c r="B151" s="30" t="n">
        <v>113</v>
      </c>
      <c r="C151" s="30" t="n">
        <v>-29</v>
      </c>
      <c r="D151" s="30" t="n">
        <v>-64</v>
      </c>
      <c r="E151" s="30">
        <f>B151+C151+D151</f>
        <v/>
      </c>
      <c r="F151" s="31" t="n">
        <v>-0.2224</v>
      </c>
    </row>
    <row r="152">
      <c r="A152" s="29" t="n">
        <v>29.4</v>
      </c>
      <c r="B152" s="30" t="n">
        <v>116</v>
      </c>
      <c r="C152" s="30" t="n">
        <v>-26</v>
      </c>
      <c r="D152" s="30" t="n">
        <v>-61</v>
      </c>
      <c r="E152" s="30">
        <f>B152+C152+D152</f>
        <v/>
      </c>
      <c r="F152" s="31" t="n">
        <v>-0.224</v>
      </c>
    </row>
    <row r="153">
      <c r="A153" s="29" t="n">
        <v>29.6</v>
      </c>
      <c r="B153" s="30" t="n">
        <v>116</v>
      </c>
      <c r="C153" s="30" t="n">
        <v>-29</v>
      </c>
      <c r="D153" s="30" t="n">
        <v>-64</v>
      </c>
      <c r="E153" s="30">
        <f>B153+C153+D153</f>
        <v/>
      </c>
      <c r="F153" s="31" t="n">
        <v>-0.224</v>
      </c>
    </row>
    <row r="154">
      <c r="A154" s="29" t="n">
        <v>29.8</v>
      </c>
      <c r="B154" s="30" t="n">
        <v>116</v>
      </c>
      <c r="C154" s="30" t="n">
        <v>-30</v>
      </c>
      <c r="D154" s="30" t="n">
        <v>-64</v>
      </c>
      <c r="E154" s="30">
        <f>B154+C154+D154</f>
        <v/>
      </c>
      <c r="F154" s="31" t="n">
        <v>-0.224</v>
      </c>
    </row>
    <row r="155">
      <c r="A155" s="29" t="n">
        <v>30</v>
      </c>
      <c r="B155" s="30" t="n">
        <v>113</v>
      </c>
      <c r="C155" s="30" t="n">
        <v>-32</v>
      </c>
      <c r="D155" s="30" t="n">
        <v>-67</v>
      </c>
      <c r="E155" s="30">
        <f>B155+C155+D155</f>
        <v/>
      </c>
      <c r="F155" s="31" t="n">
        <v>-0.224</v>
      </c>
    </row>
    <row r="156">
      <c r="A156" s="29" t="n">
        <v>30.2</v>
      </c>
      <c r="B156" s="30" t="n">
        <v>114</v>
      </c>
      <c r="C156" s="30" t="n">
        <v>-29</v>
      </c>
      <c r="D156" s="30" t="n">
        <v>-61</v>
      </c>
      <c r="E156" s="30">
        <f>B156+C156+D156</f>
        <v/>
      </c>
      <c r="F156" s="31" t="n">
        <v>-0.2224</v>
      </c>
    </row>
    <row r="157">
      <c r="A157" s="29" t="n">
        <v>30.4</v>
      </c>
      <c r="B157" s="30" t="n">
        <v>113</v>
      </c>
      <c r="C157" s="30" t="n">
        <v>-33</v>
      </c>
      <c r="D157" s="30" t="n">
        <v>-63</v>
      </c>
      <c r="E157" s="30">
        <f>B157+C157+D157</f>
        <v/>
      </c>
      <c r="F157" s="31" t="n">
        <v>-0.224</v>
      </c>
    </row>
    <row r="158">
      <c r="A158" s="29" t="n">
        <v>30.6</v>
      </c>
      <c r="B158" s="30" t="n">
        <v>113</v>
      </c>
      <c r="C158" s="30" t="n">
        <v>-29</v>
      </c>
      <c r="D158" s="30" t="n">
        <v>-66</v>
      </c>
      <c r="E158" s="30">
        <f>B158+C158+D158</f>
        <v/>
      </c>
      <c r="F158" s="31" t="n">
        <v>-0.2224</v>
      </c>
    </row>
    <row r="159">
      <c r="A159" s="29" t="n">
        <v>30.8</v>
      </c>
      <c r="B159" s="30" t="n">
        <v>117</v>
      </c>
      <c r="C159" s="30" t="n">
        <v>-28</v>
      </c>
      <c r="D159" s="30" t="n">
        <v>-62</v>
      </c>
      <c r="E159" s="30">
        <f>B159+C159+D159</f>
        <v/>
      </c>
      <c r="F159" s="31" t="n">
        <v>-0.2224</v>
      </c>
    </row>
    <row r="160">
      <c r="A160" s="29" t="n">
        <v>31</v>
      </c>
      <c r="B160" s="30" t="n">
        <v>114</v>
      </c>
      <c r="C160" s="30" t="n">
        <v>-26</v>
      </c>
      <c r="D160" s="30" t="n">
        <v>-62</v>
      </c>
      <c r="E160" s="30">
        <f>B160+C160+D160</f>
        <v/>
      </c>
      <c r="F160" s="31" t="n">
        <v>-0.2224</v>
      </c>
    </row>
    <row r="161">
      <c r="A161" s="29" t="n">
        <v>31.2</v>
      </c>
      <c r="B161" s="30" t="n">
        <v>117</v>
      </c>
      <c r="C161" s="30" t="n">
        <v>-36</v>
      </c>
      <c r="D161" s="30" t="n">
        <v>-67</v>
      </c>
      <c r="E161" s="30">
        <f>B161+C161+D161</f>
        <v/>
      </c>
      <c r="F161" s="31" t="n">
        <v>-0.2224</v>
      </c>
    </row>
    <row r="162">
      <c r="A162" s="29" t="n">
        <v>31.4</v>
      </c>
      <c r="B162" s="30" t="n">
        <v>116</v>
      </c>
      <c r="C162" s="30" t="n">
        <v>-27</v>
      </c>
      <c r="D162" s="30" t="n">
        <v>-63</v>
      </c>
      <c r="E162" s="30">
        <f>B162+C162+D162</f>
        <v/>
      </c>
      <c r="F162" s="31" t="n">
        <v>-0.2224</v>
      </c>
    </row>
    <row r="163">
      <c r="A163" s="29" t="n">
        <v>31.6</v>
      </c>
      <c r="B163" s="30" t="n">
        <v>104</v>
      </c>
      <c r="C163" s="30" t="n">
        <v>-31</v>
      </c>
      <c r="D163" s="30" t="n">
        <v>-64</v>
      </c>
      <c r="E163" s="30">
        <f>B163+C163+D163</f>
        <v/>
      </c>
      <c r="F163" s="31" t="n">
        <v>-0.2224</v>
      </c>
    </row>
    <row r="164">
      <c r="A164" s="29" t="n">
        <v>31.8</v>
      </c>
      <c r="B164" s="30" t="n">
        <v>108</v>
      </c>
      <c r="C164" s="30" t="n">
        <v>-35</v>
      </c>
      <c r="D164" s="30" t="n">
        <v>-69</v>
      </c>
      <c r="E164" s="30">
        <f>B164+C164+D164</f>
        <v/>
      </c>
      <c r="F164" s="31" t="n">
        <v>-0.2224</v>
      </c>
    </row>
    <row r="165">
      <c r="A165" s="29" t="n">
        <v>32</v>
      </c>
      <c r="B165" s="30" t="n">
        <v>116</v>
      </c>
      <c r="C165" s="30" t="n">
        <v>-29</v>
      </c>
      <c r="D165" s="30" t="n">
        <v>-62</v>
      </c>
      <c r="E165" s="30">
        <f>B165+C165+D165</f>
        <v/>
      </c>
      <c r="F165" s="31" t="n">
        <v>-0.2224</v>
      </c>
    </row>
    <row r="166">
      <c r="A166" s="29" t="n">
        <v>32.2</v>
      </c>
      <c r="B166" s="30" t="n">
        <v>116</v>
      </c>
      <c r="C166" s="30" t="n">
        <v>-33</v>
      </c>
      <c r="D166" s="30" t="n">
        <v>-68</v>
      </c>
      <c r="E166" s="30">
        <f>B166+C166+D166</f>
        <v/>
      </c>
      <c r="F166" s="31" t="n">
        <v>-0.2224</v>
      </c>
    </row>
    <row r="167">
      <c r="A167" s="29" t="n">
        <v>32.4</v>
      </c>
      <c r="B167" s="30" t="n">
        <v>109</v>
      </c>
      <c r="C167" s="30" t="n">
        <v>-28</v>
      </c>
      <c r="D167" s="30" t="n">
        <v>-64</v>
      </c>
      <c r="E167" s="30">
        <f>B167+C167+D167</f>
        <v/>
      </c>
      <c r="F167" s="31" t="n">
        <v>-0.2224</v>
      </c>
    </row>
    <row r="168">
      <c r="A168" s="29" t="n">
        <v>32.6</v>
      </c>
      <c r="B168" s="30" t="n">
        <v>114</v>
      </c>
      <c r="C168" s="30" t="n">
        <v>-26</v>
      </c>
      <c r="D168" s="30" t="n">
        <v>-66</v>
      </c>
      <c r="E168" s="30">
        <f>B168+C168+D168</f>
        <v/>
      </c>
      <c r="F168" s="31" t="n">
        <v>-0.2224</v>
      </c>
    </row>
    <row r="169">
      <c r="A169" s="29" t="n">
        <v>32.8</v>
      </c>
      <c r="B169" s="30" t="n">
        <v>111</v>
      </c>
      <c r="C169" s="30" t="n">
        <v>-27</v>
      </c>
      <c r="D169" s="30" t="n">
        <v>-64</v>
      </c>
      <c r="E169" s="30">
        <f>B169+C169+D169</f>
        <v/>
      </c>
      <c r="F169" s="31" t="n">
        <v>-0.2224</v>
      </c>
    </row>
    <row r="170">
      <c r="A170" s="29" t="n">
        <v>33</v>
      </c>
      <c r="B170" s="30" t="n">
        <v>113</v>
      </c>
      <c r="C170" s="30" t="n">
        <v>-30</v>
      </c>
      <c r="D170" s="30" t="n">
        <v>-68</v>
      </c>
      <c r="E170" s="30">
        <f>B170+C170+D170</f>
        <v/>
      </c>
      <c r="F170" s="31" t="n">
        <v>-0.2224</v>
      </c>
    </row>
    <row r="171">
      <c r="A171" s="29" t="n">
        <v>33.2</v>
      </c>
      <c r="B171" s="30" t="n">
        <v>117</v>
      </c>
      <c r="C171" s="30" t="n">
        <v>-37</v>
      </c>
      <c r="D171" s="30" t="n">
        <v>-66</v>
      </c>
      <c r="E171" s="30">
        <f>B171+C171+D171</f>
        <v/>
      </c>
      <c r="F171" s="31" t="n">
        <v>-0.2209</v>
      </c>
    </row>
    <row r="172">
      <c r="A172" s="29" t="n">
        <v>33.4</v>
      </c>
      <c r="B172" s="30" t="n">
        <v>116</v>
      </c>
      <c r="C172" s="30" t="n">
        <v>-35</v>
      </c>
      <c r="D172" s="30" t="n">
        <v>-68</v>
      </c>
      <c r="E172" s="30">
        <f>B172+C172+D172</f>
        <v/>
      </c>
      <c r="F172" s="31" t="n">
        <v>-0.2208</v>
      </c>
    </row>
    <row r="173">
      <c r="A173" s="29" t="n">
        <v>33.6</v>
      </c>
      <c r="B173" s="30" t="n">
        <v>113</v>
      </c>
      <c r="C173" s="30" t="n">
        <v>-32</v>
      </c>
      <c r="D173" s="30" t="n">
        <v>-67</v>
      </c>
      <c r="E173" s="30">
        <f>B173+C173+D173</f>
        <v/>
      </c>
      <c r="F173" s="31" t="n">
        <v>-0.2209</v>
      </c>
    </row>
    <row r="174">
      <c r="A174" s="29" t="n">
        <v>33.8</v>
      </c>
      <c r="B174" s="30" t="n">
        <v>116</v>
      </c>
      <c r="C174" s="30" t="n">
        <v>-32</v>
      </c>
      <c r="D174" s="30" t="n">
        <v>-63</v>
      </c>
      <c r="E174" s="30">
        <f>B174+C174+D174</f>
        <v/>
      </c>
      <c r="F174" s="31" t="n">
        <v>-0.2209</v>
      </c>
    </row>
    <row r="175">
      <c r="A175" s="29" t="n">
        <v>34</v>
      </c>
      <c r="B175" s="30" t="n">
        <v>114</v>
      </c>
      <c r="C175" s="30" t="n">
        <v>-27</v>
      </c>
      <c r="D175" s="30" t="n">
        <v>-64</v>
      </c>
      <c r="E175" s="30">
        <f>B175+C175+D175</f>
        <v/>
      </c>
      <c r="F175" s="31" t="n">
        <v>-0.2209</v>
      </c>
    </row>
    <row r="176">
      <c r="A176" s="29" t="n">
        <v>34.2</v>
      </c>
      <c r="B176" s="30" t="n">
        <v>120</v>
      </c>
      <c r="C176" s="30" t="n">
        <v>-38</v>
      </c>
      <c r="D176" s="30" t="n">
        <v>-65</v>
      </c>
      <c r="E176" s="30">
        <f>B176+C176+D176</f>
        <v/>
      </c>
      <c r="F176" s="31" t="n">
        <v>-0.2209</v>
      </c>
    </row>
    <row r="177">
      <c r="A177" s="29" t="n">
        <v>34.4</v>
      </c>
      <c r="B177" s="30" t="n">
        <v>114</v>
      </c>
      <c r="C177" s="30" t="n">
        <v>-28</v>
      </c>
      <c r="D177" s="30" t="n">
        <v>-66</v>
      </c>
      <c r="E177" s="30">
        <f>B177+C177+D177</f>
        <v/>
      </c>
      <c r="F177" s="31" t="n">
        <v>-0.2209</v>
      </c>
    </row>
    <row r="178">
      <c r="A178" s="29" t="n">
        <v>34.6</v>
      </c>
      <c r="B178" s="30" t="n">
        <v>113</v>
      </c>
      <c r="C178" s="30" t="n">
        <v>-35</v>
      </c>
      <c r="D178" s="30" t="n">
        <v>-64</v>
      </c>
      <c r="E178" s="30">
        <f>B178+C178+D178</f>
        <v/>
      </c>
      <c r="F178" s="31" t="n">
        <v>-0.2209</v>
      </c>
    </row>
    <row r="179">
      <c r="A179" s="29" t="n">
        <v>34.8</v>
      </c>
      <c r="B179" s="30" t="n">
        <v>113</v>
      </c>
      <c r="C179" s="30" t="n">
        <v>-29</v>
      </c>
      <c r="D179" s="30" t="n">
        <v>-66</v>
      </c>
      <c r="E179" s="30">
        <f>B179+C179+D179</f>
        <v/>
      </c>
      <c r="F179" s="31" t="n">
        <v>-0.2209</v>
      </c>
    </row>
    <row r="180">
      <c r="A180" s="29" t="n">
        <v>35</v>
      </c>
      <c r="B180" s="30" t="n">
        <v>116</v>
      </c>
      <c r="C180" s="30" t="n">
        <v>-28</v>
      </c>
      <c r="D180" s="30" t="n">
        <v>-65</v>
      </c>
      <c r="E180" s="30">
        <f>B180+C180+D180</f>
        <v/>
      </c>
      <c r="F180" s="31" t="n">
        <v>-0.2193</v>
      </c>
    </row>
    <row r="181">
      <c r="A181" s="29" t="n">
        <v>35.2</v>
      </c>
      <c r="B181" s="30" t="n">
        <v>117</v>
      </c>
      <c r="C181" s="30" t="n">
        <v>-38</v>
      </c>
      <c r="D181" s="30" t="n">
        <v>-66</v>
      </c>
      <c r="E181" s="30">
        <f>B181+C181+D181</f>
        <v/>
      </c>
      <c r="F181" s="31" t="n">
        <v>-0.2193</v>
      </c>
    </row>
    <row r="182">
      <c r="A182" s="29" t="n">
        <v>35.4</v>
      </c>
      <c r="B182" s="30" t="n">
        <v>115</v>
      </c>
      <c r="C182" s="30" t="n">
        <v>-28</v>
      </c>
      <c r="D182" s="30" t="n">
        <v>-64</v>
      </c>
      <c r="E182" s="30">
        <f>B182+C182+D182</f>
        <v/>
      </c>
      <c r="F182" s="31" t="n">
        <v>-0.2209</v>
      </c>
    </row>
    <row r="183">
      <c r="A183" s="29" t="n">
        <v>35.6</v>
      </c>
      <c r="B183" s="30" t="n">
        <v>115</v>
      </c>
      <c r="C183" s="30" t="n">
        <v>-33</v>
      </c>
      <c r="D183" s="30" t="n">
        <v>-67</v>
      </c>
      <c r="E183" s="30">
        <f>B183+C183+D183</f>
        <v/>
      </c>
      <c r="F183" s="31" t="n">
        <v>-0.2194</v>
      </c>
    </row>
    <row r="184">
      <c r="A184" s="29" t="n">
        <v>35.8</v>
      </c>
      <c r="B184" s="30" t="n">
        <v>104</v>
      </c>
      <c r="C184" s="30" t="n">
        <v>-32</v>
      </c>
      <c r="D184" s="30" t="n">
        <v>-64</v>
      </c>
      <c r="E184" s="30">
        <f>B184+C184+D184</f>
        <v/>
      </c>
      <c r="F184" s="31" t="n">
        <v>-0.2193</v>
      </c>
    </row>
    <row r="185">
      <c r="A185" s="29" t="n">
        <v>36</v>
      </c>
      <c r="B185" s="30" t="n">
        <v>105</v>
      </c>
      <c r="C185" s="30" t="n">
        <v>-30</v>
      </c>
      <c r="D185" s="30" t="n">
        <v>-67</v>
      </c>
      <c r="E185" s="30">
        <f>B185+C185+D185</f>
        <v/>
      </c>
      <c r="F185" s="31" t="n">
        <v>-0.2193</v>
      </c>
    </row>
    <row r="186">
      <c r="A186" s="29" t="n">
        <v>36.2</v>
      </c>
      <c r="B186" s="30" t="n">
        <v>115</v>
      </c>
      <c r="C186" s="30" t="n">
        <v>-27</v>
      </c>
      <c r="D186" s="30" t="n">
        <v>-62</v>
      </c>
      <c r="E186" s="30">
        <f>B186+C186+D186</f>
        <v/>
      </c>
      <c r="F186" s="31" t="n">
        <v>-0.2193</v>
      </c>
    </row>
    <row r="187">
      <c r="A187" s="29" t="n">
        <v>36.4</v>
      </c>
      <c r="B187" s="30" t="n">
        <v>112</v>
      </c>
      <c r="C187" s="30" t="n">
        <v>-30</v>
      </c>
      <c r="D187" s="30" t="n">
        <v>-64</v>
      </c>
      <c r="E187" s="30">
        <f>B187+C187+D187</f>
        <v/>
      </c>
      <c r="F187" s="31" t="n">
        <v>-0.2193</v>
      </c>
    </row>
    <row r="188">
      <c r="A188" s="29" t="n">
        <v>36.6</v>
      </c>
      <c r="B188" s="30" t="n">
        <v>116</v>
      </c>
      <c r="C188" s="30" t="n">
        <v>-30</v>
      </c>
      <c r="D188" s="30" t="n">
        <v>-64</v>
      </c>
      <c r="E188" s="30">
        <f>B188+C188+D188</f>
        <v/>
      </c>
      <c r="F188" s="31" t="n">
        <v>-0.2194</v>
      </c>
    </row>
    <row r="189">
      <c r="A189" s="29" t="n">
        <v>36.8</v>
      </c>
      <c r="B189" s="30" t="n">
        <v>113</v>
      </c>
      <c r="C189" s="30" t="n">
        <v>-27</v>
      </c>
      <c r="D189" s="30" t="n">
        <v>-64</v>
      </c>
      <c r="E189" s="30">
        <f>B189+C189+D189</f>
        <v/>
      </c>
      <c r="F189" s="31" t="n">
        <v>-0.2193</v>
      </c>
    </row>
    <row r="190">
      <c r="A190" s="29" t="n">
        <v>37</v>
      </c>
      <c r="B190" s="30" t="n">
        <v>116</v>
      </c>
      <c r="C190" s="30" t="n">
        <v>-26</v>
      </c>
      <c r="D190" s="30" t="n">
        <v>-63</v>
      </c>
      <c r="E190" s="30">
        <f>B190+C190+D190</f>
        <v/>
      </c>
      <c r="F190" s="31" t="n">
        <v>-0.2193</v>
      </c>
    </row>
    <row r="191">
      <c r="A191" s="29" t="n">
        <v>37.2</v>
      </c>
      <c r="B191" s="30" t="n">
        <v>117</v>
      </c>
      <c r="C191" s="30" t="n">
        <v>-30</v>
      </c>
      <c r="D191" s="30" t="n">
        <v>-64</v>
      </c>
      <c r="E191" s="30">
        <f>B191+C191+D191</f>
        <v/>
      </c>
      <c r="F191" s="31" t="n">
        <v>-0.2193</v>
      </c>
    </row>
    <row r="192">
      <c r="A192" s="29" t="n">
        <v>37.4</v>
      </c>
      <c r="B192" s="30" t="n">
        <v>112</v>
      </c>
      <c r="C192" s="30" t="n">
        <v>-26</v>
      </c>
      <c r="D192" s="30" t="n">
        <v>-63</v>
      </c>
      <c r="E192" s="30">
        <f>B192+C192+D192</f>
        <v/>
      </c>
      <c r="F192" s="31" t="n">
        <v>-0.2193</v>
      </c>
    </row>
    <row r="193">
      <c r="A193" s="29" t="n">
        <v>37.6</v>
      </c>
      <c r="B193" s="30" t="n">
        <v>116</v>
      </c>
      <c r="C193" s="30" t="n">
        <v>-29</v>
      </c>
      <c r="D193" s="30" t="n">
        <v>-64</v>
      </c>
      <c r="E193" s="30">
        <f>B193+C193+D193</f>
        <v/>
      </c>
      <c r="F193" s="31" t="n">
        <v>-0.2178</v>
      </c>
    </row>
    <row r="194">
      <c r="A194" s="29" t="n">
        <v>37.8</v>
      </c>
      <c r="B194" s="30" t="n">
        <v>115</v>
      </c>
      <c r="C194" s="30" t="n">
        <v>-33</v>
      </c>
      <c r="D194" s="30" t="n">
        <v>-68</v>
      </c>
      <c r="E194" s="30">
        <f>B194+C194+D194</f>
        <v/>
      </c>
      <c r="F194" s="31" t="n">
        <v>-0.2194</v>
      </c>
    </row>
    <row r="195">
      <c r="A195" s="29" t="n">
        <v>38</v>
      </c>
      <c r="B195" s="30" t="n">
        <v>115</v>
      </c>
      <c r="C195" s="30" t="n">
        <v>-38</v>
      </c>
      <c r="D195" s="30" t="n">
        <v>-64</v>
      </c>
      <c r="E195" s="30">
        <f>B195+C195+D195</f>
        <v/>
      </c>
      <c r="F195" s="31" t="n">
        <v>-0.2178</v>
      </c>
    </row>
    <row r="196">
      <c r="A196" s="29" t="n">
        <v>38.2</v>
      </c>
      <c r="B196" s="30" t="n">
        <v>107</v>
      </c>
      <c r="C196" s="30" t="n">
        <v>-29</v>
      </c>
      <c r="D196" s="30" t="n">
        <v>-67</v>
      </c>
      <c r="E196" s="30">
        <f>B196+C196+D196</f>
        <v/>
      </c>
      <c r="F196" s="31" t="n">
        <v>-0.2194</v>
      </c>
    </row>
    <row r="197">
      <c r="A197" s="29" t="n">
        <v>38.4</v>
      </c>
      <c r="B197" s="30" t="n">
        <v>112</v>
      </c>
      <c r="C197" s="30" t="n">
        <v>-28</v>
      </c>
      <c r="D197" s="30" t="n">
        <v>-65</v>
      </c>
      <c r="E197" s="30">
        <f>B197+C197+D197</f>
        <v/>
      </c>
      <c r="F197" s="31" t="n">
        <v>-0.2178</v>
      </c>
    </row>
    <row r="198">
      <c r="A198" s="29" t="n">
        <v>38.6</v>
      </c>
      <c r="B198" s="30" t="n">
        <v>113</v>
      </c>
      <c r="C198" s="30" t="n">
        <v>-27</v>
      </c>
      <c r="D198" s="30" t="n">
        <v>-64</v>
      </c>
      <c r="E198" s="30">
        <f>B198+C198+D198</f>
        <v/>
      </c>
      <c r="F198" s="31" t="n">
        <v>-0.2178</v>
      </c>
    </row>
    <row r="199">
      <c r="A199" s="29" t="n">
        <v>38.8</v>
      </c>
      <c r="B199" s="30" t="n">
        <v>104</v>
      </c>
      <c r="C199" s="30" t="n">
        <v>-31</v>
      </c>
      <c r="D199" s="30" t="n">
        <v>-63</v>
      </c>
      <c r="E199" s="30">
        <f>B199+C199+D199</f>
        <v/>
      </c>
      <c r="F199" s="31" t="n">
        <v>-0.2194</v>
      </c>
    </row>
    <row r="200">
      <c r="A200" s="29" t="n">
        <v>39</v>
      </c>
      <c r="B200" s="30" t="n">
        <v>114</v>
      </c>
      <c r="C200" s="30" t="n">
        <v>-29</v>
      </c>
      <c r="D200" s="30" t="n">
        <v>-66</v>
      </c>
      <c r="E200" s="30">
        <f>B200+C200+D200</f>
        <v/>
      </c>
      <c r="F200" s="31" t="n">
        <v>-0.2178</v>
      </c>
    </row>
    <row r="201">
      <c r="A201" s="29" t="n">
        <v>39.2</v>
      </c>
      <c r="B201" s="30" t="n">
        <v>116</v>
      </c>
      <c r="C201" s="30" t="n">
        <v>-28</v>
      </c>
      <c r="D201" s="30" t="n">
        <v>-63</v>
      </c>
      <c r="E201" s="30">
        <f>B201+C201+D201</f>
        <v/>
      </c>
      <c r="F201" s="31" t="n">
        <v>-0.2178</v>
      </c>
    </row>
    <row r="202">
      <c r="A202" s="29" t="n">
        <v>39.4</v>
      </c>
      <c r="B202" s="30" t="n">
        <v>113</v>
      </c>
      <c r="C202" s="30" t="n">
        <v>-31</v>
      </c>
      <c r="D202" s="30" t="n">
        <v>-66</v>
      </c>
      <c r="E202" s="30">
        <f>B202+C202+D202</f>
        <v/>
      </c>
      <c r="F202" s="31" t="n">
        <v>-0.2178</v>
      </c>
    </row>
    <row r="203">
      <c r="A203" s="29" t="n">
        <v>39.6</v>
      </c>
      <c r="B203" s="30" t="n">
        <v>113</v>
      </c>
      <c r="C203" s="30" t="n">
        <v>-43</v>
      </c>
      <c r="D203" s="30" t="n">
        <v>-66</v>
      </c>
      <c r="E203" s="30">
        <f>B203+C203+D203</f>
        <v/>
      </c>
      <c r="F203" s="31" t="n">
        <v>-0.2178</v>
      </c>
    </row>
    <row r="204">
      <c r="A204" s="29" t="n">
        <v>39.8</v>
      </c>
      <c r="B204" s="30" t="n">
        <v>104</v>
      </c>
      <c r="C204" s="30" t="n">
        <v>-30</v>
      </c>
      <c r="D204" s="30" t="n">
        <v>-66</v>
      </c>
      <c r="E204" s="30">
        <f>B204+C204+D204</f>
        <v/>
      </c>
      <c r="F204" s="31" t="n">
        <v>-0.2178</v>
      </c>
    </row>
    <row r="205">
      <c r="A205" s="29" t="n">
        <v>40</v>
      </c>
      <c r="B205" s="30" t="n">
        <v>115</v>
      </c>
      <c r="C205" s="30" t="n">
        <v>-28</v>
      </c>
      <c r="D205" s="30" t="n">
        <v>-63</v>
      </c>
      <c r="E205" s="30">
        <f>B205+C205+D205</f>
        <v/>
      </c>
      <c r="F205" s="31" t="n">
        <v>-0.2163</v>
      </c>
    </row>
    <row r="206">
      <c r="A206" s="29" t="n">
        <v>40.2</v>
      </c>
      <c r="B206" s="30" t="n">
        <v>116</v>
      </c>
      <c r="C206" s="30" t="n">
        <v>-29</v>
      </c>
      <c r="D206" s="30" t="n">
        <v>-64</v>
      </c>
      <c r="E206" s="30">
        <f>B206+C206+D206</f>
        <v/>
      </c>
      <c r="F206" s="31" t="n">
        <v>-0.2162</v>
      </c>
    </row>
    <row r="207">
      <c r="A207" s="29" t="n">
        <v>40.4</v>
      </c>
      <c r="B207" s="30" t="n">
        <v>114</v>
      </c>
      <c r="C207" s="30" t="n">
        <v>-38</v>
      </c>
      <c r="D207" s="30" t="n">
        <v>-64</v>
      </c>
      <c r="E207" s="30">
        <f>B207+C207+D207</f>
        <v/>
      </c>
      <c r="F207" s="31" t="n">
        <v>-0.2178</v>
      </c>
    </row>
    <row r="208">
      <c r="A208" s="29" t="n">
        <v>40.6</v>
      </c>
      <c r="B208" s="30" t="n">
        <v>112</v>
      </c>
      <c r="C208" s="30" t="n">
        <v>-29</v>
      </c>
      <c r="D208" s="30" t="n">
        <v>-64</v>
      </c>
      <c r="E208" s="30">
        <f>B208+C208+D208</f>
        <v/>
      </c>
      <c r="F208" s="31" t="n">
        <v>-0.2178</v>
      </c>
    </row>
    <row r="209">
      <c r="A209" s="29" t="n">
        <v>40.8</v>
      </c>
      <c r="B209" s="30" t="n">
        <v>117</v>
      </c>
      <c r="C209" s="30" t="n">
        <v>-32</v>
      </c>
      <c r="D209" s="30" t="n">
        <v>-69</v>
      </c>
      <c r="E209" s="30">
        <f>B209+C209+D209</f>
        <v/>
      </c>
      <c r="F209" s="31" t="n">
        <v>-0.2178</v>
      </c>
    </row>
    <row r="210">
      <c r="A210" s="29" t="n">
        <v>41</v>
      </c>
      <c r="B210" s="30" t="n">
        <v>116</v>
      </c>
      <c r="C210" s="30" t="n">
        <v>-29</v>
      </c>
      <c r="D210" s="30" t="n">
        <v>-64</v>
      </c>
      <c r="E210" s="30">
        <f>B210+C210+D210</f>
        <v/>
      </c>
      <c r="F210" s="31" t="n">
        <v>-0.2178</v>
      </c>
    </row>
    <row r="211">
      <c r="A211" s="29" t="n">
        <v>41.2</v>
      </c>
      <c r="B211" s="30" t="n">
        <v>116</v>
      </c>
      <c r="C211" s="30" t="n">
        <v>-31</v>
      </c>
      <c r="D211" s="30" t="n">
        <v>-66</v>
      </c>
      <c r="E211" s="30">
        <f>B211+C211+D211</f>
        <v/>
      </c>
      <c r="F211" s="31" t="n">
        <v>-0.2163</v>
      </c>
    </row>
    <row r="212">
      <c r="A212" s="29" t="n">
        <v>41.4</v>
      </c>
      <c r="B212" s="30" t="n">
        <v>116</v>
      </c>
      <c r="C212" s="30" t="n">
        <v>-40</v>
      </c>
      <c r="D212" s="30" t="n">
        <v>-69</v>
      </c>
      <c r="E212" s="30">
        <f>B212+C212+D212</f>
        <v/>
      </c>
      <c r="F212" s="31" t="n">
        <v>-0.2162</v>
      </c>
    </row>
    <row r="213">
      <c r="A213" s="29" t="n">
        <v>41.6</v>
      </c>
      <c r="B213" s="30" t="n">
        <v>114</v>
      </c>
      <c r="C213" s="30" t="n">
        <v>-36</v>
      </c>
      <c r="D213" s="30" t="n">
        <v>-66</v>
      </c>
      <c r="E213" s="30">
        <f>B213+C213+D213</f>
        <v/>
      </c>
      <c r="F213" s="31" t="n">
        <v>-0.2178</v>
      </c>
    </row>
    <row r="214">
      <c r="A214" s="29" t="n">
        <v>41.8</v>
      </c>
      <c r="B214" s="30" t="n">
        <v>101</v>
      </c>
      <c r="C214" s="30" t="n">
        <v>-32</v>
      </c>
      <c r="D214" s="30" t="n">
        <v>-64</v>
      </c>
      <c r="E214" s="30">
        <f>B214+C214+D214</f>
        <v/>
      </c>
      <c r="F214" s="31" t="n">
        <v>-0.2163</v>
      </c>
    </row>
    <row r="215">
      <c r="A215" s="29" t="n">
        <v>42</v>
      </c>
      <c r="B215" s="30" t="n">
        <v>116</v>
      </c>
      <c r="C215" s="30" t="n">
        <v>-30</v>
      </c>
      <c r="D215" s="30" t="n">
        <v>-63</v>
      </c>
      <c r="E215" s="30">
        <f>B215+C215+D215</f>
        <v/>
      </c>
      <c r="F215" s="31" t="n">
        <v>-0.2163</v>
      </c>
    </row>
    <row r="216">
      <c r="A216" s="29" t="n">
        <v>42.2</v>
      </c>
      <c r="B216" s="30" t="n">
        <v>114</v>
      </c>
      <c r="C216" s="30" t="n">
        <v>-35</v>
      </c>
      <c r="D216" s="30" t="n">
        <v>-65</v>
      </c>
      <c r="E216" s="30">
        <f>B216+C216+D216</f>
        <v/>
      </c>
      <c r="F216" s="31" t="n">
        <v>-0.2163</v>
      </c>
    </row>
    <row r="217">
      <c r="A217" s="29" t="n">
        <v>42.4</v>
      </c>
      <c r="B217" s="30" t="n">
        <v>112</v>
      </c>
      <c r="C217" s="30" t="n">
        <v>-28</v>
      </c>
      <c r="D217" s="30" t="n">
        <v>-64</v>
      </c>
      <c r="E217" s="30">
        <f>B217+C217+D217</f>
        <v/>
      </c>
      <c r="F217" s="31" t="n">
        <v>-0.2163</v>
      </c>
    </row>
    <row r="218">
      <c r="A218" s="29" t="n">
        <v>42.6</v>
      </c>
      <c r="B218" s="30" t="n">
        <v>114</v>
      </c>
      <c r="C218" s="30" t="n">
        <v>-33</v>
      </c>
      <c r="D218" s="30" t="n">
        <v>-57</v>
      </c>
      <c r="E218" s="30">
        <f>B218+C218+D218</f>
        <v/>
      </c>
      <c r="F218" s="31" t="n">
        <v>-0.2163</v>
      </c>
    </row>
    <row r="219">
      <c r="A219" s="29" t="n">
        <v>42.8</v>
      </c>
      <c r="B219" s="30" t="n">
        <v>128</v>
      </c>
      <c r="C219" s="30" t="n">
        <v>-30</v>
      </c>
      <c r="D219" s="30" t="n">
        <v>-62</v>
      </c>
      <c r="E219" s="30">
        <f>B219+C219+D219</f>
        <v/>
      </c>
      <c r="F219" s="31" t="n">
        <v>-0.2163</v>
      </c>
    </row>
    <row r="220">
      <c r="A220" s="29" t="n">
        <v>43</v>
      </c>
      <c r="B220" s="30" t="n">
        <v>119</v>
      </c>
      <c r="C220" s="30" t="n">
        <v>-36</v>
      </c>
      <c r="D220" s="30" t="n">
        <v>-67</v>
      </c>
      <c r="E220" s="30">
        <f>B220+C220+D220</f>
        <v/>
      </c>
      <c r="F220" s="31" t="n">
        <v>-0.2163</v>
      </c>
    </row>
    <row r="221">
      <c r="A221" s="29" t="n">
        <v>43.2</v>
      </c>
      <c r="B221" s="30" t="n">
        <v>115</v>
      </c>
      <c r="C221" s="30" t="n">
        <v>-31</v>
      </c>
      <c r="D221" s="30" t="n">
        <v>0</v>
      </c>
      <c r="E221" s="30">
        <f>B221+C221+D221</f>
        <v/>
      </c>
      <c r="F221" s="31" t="n">
        <v>-0.2163</v>
      </c>
    </row>
    <row r="222">
      <c r="A222" s="29" t="n">
        <v>43.4</v>
      </c>
      <c r="B222" s="30" t="n">
        <v>120</v>
      </c>
      <c r="C222" s="30" t="n">
        <v>-29</v>
      </c>
      <c r="D222" s="30" t="n">
        <v>-64</v>
      </c>
      <c r="E222" s="30">
        <f>B222+C222+D222</f>
        <v/>
      </c>
      <c r="F222" s="31" t="n">
        <v>-0.2163</v>
      </c>
    </row>
    <row r="223">
      <c r="A223" s="29" t="n">
        <v>43.6</v>
      </c>
      <c r="B223" s="30" t="n">
        <v>114</v>
      </c>
      <c r="C223" s="30" t="n">
        <v>-28</v>
      </c>
      <c r="D223" s="30" t="n">
        <v>-63</v>
      </c>
      <c r="E223" s="30">
        <f>B223+C223+D223</f>
        <v/>
      </c>
      <c r="F223" s="31" t="n">
        <v>-0.2163</v>
      </c>
    </row>
    <row r="224">
      <c r="A224" s="29" t="n">
        <v>43.8</v>
      </c>
      <c r="B224" s="30" t="n">
        <v>109</v>
      </c>
      <c r="C224" s="30" t="n">
        <v>-34</v>
      </c>
      <c r="D224" s="30" t="n">
        <v>-65</v>
      </c>
      <c r="E224" s="30">
        <f>B224+C224+D224</f>
        <v/>
      </c>
      <c r="F224" s="31" t="n">
        <v>-0.2163</v>
      </c>
    </row>
    <row r="225">
      <c r="A225" s="29" t="n">
        <v>44</v>
      </c>
      <c r="B225" s="30" t="n">
        <v>116</v>
      </c>
      <c r="C225" s="30" t="n">
        <v>-28</v>
      </c>
      <c r="D225" s="30" t="n">
        <v>-61</v>
      </c>
      <c r="E225" s="30">
        <f>B225+C225+D225</f>
        <v/>
      </c>
      <c r="F225" s="31" t="n">
        <v>-0.2163</v>
      </c>
    </row>
    <row r="226">
      <c r="A226" s="29" t="n">
        <v>44.2</v>
      </c>
      <c r="B226" s="30" t="n">
        <v>116</v>
      </c>
      <c r="C226" s="30" t="n">
        <v>-32</v>
      </c>
      <c r="D226" s="30" t="n">
        <v>-66</v>
      </c>
      <c r="E226" s="30">
        <f>B226+C226+D226</f>
        <v/>
      </c>
      <c r="F226" s="31" t="n">
        <v>-0.2163</v>
      </c>
    </row>
    <row r="227">
      <c r="A227" s="29" t="n">
        <v>44.4</v>
      </c>
      <c r="B227" s="30" t="n">
        <v>115</v>
      </c>
      <c r="C227" s="30" t="n">
        <v>-32</v>
      </c>
      <c r="D227" s="30" t="n">
        <v>-64</v>
      </c>
      <c r="E227" s="30">
        <f>B227+C227+D227</f>
        <v/>
      </c>
      <c r="F227" s="31" t="n">
        <v>-0.2163</v>
      </c>
    </row>
    <row r="228">
      <c r="A228" s="29" t="n">
        <v>44.6</v>
      </c>
      <c r="B228" s="30" t="n">
        <v>109</v>
      </c>
      <c r="C228" s="30" t="n">
        <v>-30</v>
      </c>
      <c r="D228" s="30" t="n">
        <v>-63</v>
      </c>
      <c r="E228" s="30">
        <f>B228+C228+D228</f>
        <v/>
      </c>
      <c r="F228" s="31" t="n">
        <v>-0.2163</v>
      </c>
    </row>
    <row r="229">
      <c r="A229" s="29" t="n">
        <v>44.8</v>
      </c>
      <c r="B229" s="30" t="n">
        <v>114</v>
      </c>
      <c r="C229" s="30" t="n">
        <v>-27</v>
      </c>
      <c r="D229" s="30" t="n">
        <v>-62</v>
      </c>
      <c r="E229" s="30">
        <f>B229+C229+D229</f>
        <v/>
      </c>
      <c r="F229" s="31" t="n">
        <v>-0.2178</v>
      </c>
    </row>
    <row r="230">
      <c r="A230" s="29" t="n">
        <v>45</v>
      </c>
      <c r="B230" s="30" t="n">
        <v>116</v>
      </c>
      <c r="C230" s="30" t="n">
        <v>-40</v>
      </c>
      <c r="D230" s="30" t="n">
        <v>-64</v>
      </c>
      <c r="E230" s="30">
        <f>B230+C230+D230</f>
        <v/>
      </c>
      <c r="F230" s="31" t="n">
        <v>-0.2178</v>
      </c>
    </row>
    <row r="231">
      <c r="A231" s="29" t="n">
        <v>45.2</v>
      </c>
      <c r="B231" s="30" t="n">
        <v>114</v>
      </c>
      <c r="C231" s="30" t="n">
        <v>-32</v>
      </c>
      <c r="D231" s="30" t="n">
        <v>-61</v>
      </c>
      <c r="E231" s="30">
        <f>B231+C231+D231</f>
        <v/>
      </c>
      <c r="F231" s="31" t="n">
        <v>-0.2163</v>
      </c>
    </row>
    <row r="232">
      <c r="A232" s="29" t="n">
        <v>45.4</v>
      </c>
      <c r="B232" s="30" t="n">
        <v>116</v>
      </c>
      <c r="C232" s="30" t="n">
        <v>-30</v>
      </c>
      <c r="D232" s="30" t="n">
        <v>-63</v>
      </c>
      <c r="E232" s="30">
        <f>B232+C232+D232</f>
        <v/>
      </c>
      <c r="F232" s="31" t="n">
        <v>-0.2163</v>
      </c>
    </row>
    <row r="233">
      <c r="A233" s="29" t="n">
        <v>45.6</v>
      </c>
      <c r="B233" s="30" t="n">
        <v>116</v>
      </c>
      <c r="C233" s="30" t="n">
        <v>-42</v>
      </c>
      <c r="D233" s="30" t="n">
        <v>-69</v>
      </c>
      <c r="E233" s="30">
        <f>B233+C233+D233</f>
        <v/>
      </c>
      <c r="F233" s="31" t="n">
        <v>-0.2163</v>
      </c>
    </row>
    <row r="234">
      <c r="A234" s="29" t="n">
        <v>45.8</v>
      </c>
      <c r="B234" s="30" t="n">
        <v>110</v>
      </c>
      <c r="C234" s="30" t="n">
        <v>-28</v>
      </c>
      <c r="D234" s="30" t="n">
        <v>-62</v>
      </c>
      <c r="E234" s="30">
        <f>B234+C234+D234</f>
        <v/>
      </c>
      <c r="F234" s="31" t="n">
        <v>-0.2163</v>
      </c>
    </row>
    <row r="235">
      <c r="A235" s="29" t="n">
        <v>46</v>
      </c>
      <c r="B235" s="30" t="n">
        <v>114</v>
      </c>
      <c r="C235" s="30" t="n">
        <v>-29</v>
      </c>
      <c r="D235" s="30" t="n">
        <v>-64</v>
      </c>
      <c r="E235" s="30">
        <f>B235+C235+D235</f>
        <v/>
      </c>
      <c r="F235" s="31" t="n">
        <v>-0.2163</v>
      </c>
    </row>
    <row r="236">
      <c r="A236" s="29" t="n">
        <v>46.2</v>
      </c>
      <c r="B236" s="30" t="n">
        <v>115</v>
      </c>
      <c r="C236" s="30" t="n">
        <v>-27</v>
      </c>
      <c r="D236" s="30" t="n">
        <v>-64</v>
      </c>
      <c r="E236" s="30">
        <f>B236+C236+D236</f>
        <v/>
      </c>
      <c r="F236" s="31" t="n">
        <v>-0.2163</v>
      </c>
    </row>
    <row r="237">
      <c r="A237" s="29" t="n">
        <v>46.4</v>
      </c>
      <c r="B237" s="30" t="n">
        <v>108</v>
      </c>
      <c r="C237" s="30" t="n">
        <v>-32</v>
      </c>
      <c r="D237" s="30" t="n">
        <v>-64</v>
      </c>
      <c r="E237" s="30">
        <f>B237+C237+D237</f>
        <v/>
      </c>
      <c r="F237" s="31" t="n">
        <v>-0.2163</v>
      </c>
    </row>
    <row r="238">
      <c r="A238" s="29" t="n">
        <v>46.6</v>
      </c>
      <c r="B238" s="30" t="n">
        <v>112</v>
      </c>
      <c r="C238" s="30" t="n">
        <v>-27</v>
      </c>
      <c r="D238" s="30" t="n">
        <v>-62</v>
      </c>
      <c r="E238" s="30">
        <f>B238+C238+D238</f>
        <v/>
      </c>
      <c r="F238" s="31" t="n">
        <v>-0.2163</v>
      </c>
    </row>
    <row r="239">
      <c r="A239" s="29" t="n">
        <v>46.8</v>
      </c>
      <c r="B239" s="30" t="n">
        <v>116</v>
      </c>
      <c r="C239" s="30" t="n">
        <v>-28</v>
      </c>
      <c r="D239" s="30" t="n">
        <v>-64</v>
      </c>
      <c r="E239" s="30">
        <f>B239+C239+D239</f>
        <v/>
      </c>
      <c r="F239" s="31" t="n">
        <v>-0.2178</v>
      </c>
    </row>
    <row r="240">
      <c r="A240" s="29" t="n">
        <v>47</v>
      </c>
      <c r="B240" s="30" t="n">
        <v>115</v>
      </c>
      <c r="C240" s="30" t="n">
        <v>-27</v>
      </c>
      <c r="D240" s="30" t="n">
        <v>-62</v>
      </c>
      <c r="E240" s="30">
        <f>B240+C240+D240</f>
        <v/>
      </c>
      <c r="F240" s="31" t="n">
        <v>-0.2163</v>
      </c>
    </row>
    <row r="241">
      <c r="A241" s="29" t="n">
        <v>47.2</v>
      </c>
      <c r="B241" s="30" t="n">
        <v>114</v>
      </c>
      <c r="C241" s="30" t="n">
        <v>-32</v>
      </c>
      <c r="D241" s="30" t="n">
        <v>-64</v>
      </c>
      <c r="E241" s="30">
        <f>B241+C241+D241</f>
        <v/>
      </c>
      <c r="F241" s="31" t="n">
        <v>-0.2163</v>
      </c>
    </row>
    <row r="242">
      <c r="A242" s="29" t="n">
        <v>47.4</v>
      </c>
      <c r="B242" s="30" t="n">
        <v>113</v>
      </c>
      <c r="C242" s="30" t="n">
        <v>-30</v>
      </c>
      <c r="D242" s="30" t="n">
        <v>-63</v>
      </c>
      <c r="E242" s="30">
        <f>B242+C242+D242</f>
        <v/>
      </c>
      <c r="F242" s="31" t="n">
        <v>-0.2178</v>
      </c>
    </row>
    <row r="243">
      <c r="A243" s="29" t="n">
        <v>47.6</v>
      </c>
      <c r="B243" s="30" t="n">
        <v>115</v>
      </c>
      <c r="C243" s="30" t="n">
        <v>-31</v>
      </c>
      <c r="D243" s="30" t="n">
        <v>-62</v>
      </c>
      <c r="E243" s="30">
        <f>B243+C243+D243</f>
        <v/>
      </c>
      <c r="F243" s="31" t="n">
        <v>-0.2163</v>
      </c>
    </row>
    <row r="244">
      <c r="A244" s="29" t="n">
        <v>47.8</v>
      </c>
      <c r="B244" s="30" t="n">
        <v>115</v>
      </c>
      <c r="C244" s="30" t="n">
        <v>-37</v>
      </c>
      <c r="D244" s="30" t="n">
        <v>-65</v>
      </c>
      <c r="E244" s="30">
        <f>B244+C244+D244</f>
        <v/>
      </c>
      <c r="F244" s="31" t="n">
        <v>-0.2163</v>
      </c>
    </row>
    <row r="245">
      <c r="A245" s="29" t="n">
        <v>48</v>
      </c>
      <c r="B245" s="30" t="n">
        <v>116</v>
      </c>
      <c r="C245" s="30" t="n">
        <v>-35</v>
      </c>
      <c r="D245" s="30" t="n">
        <v>-64</v>
      </c>
      <c r="E245" s="30">
        <f>B245+C245+D245</f>
        <v/>
      </c>
      <c r="F245" s="31" t="n">
        <v>-0.2163</v>
      </c>
    </row>
    <row r="246">
      <c r="A246" s="29" t="n">
        <v>48.2</v>
      </c>
      <c r="B246" s="30" t="n">
        <v>115</v>
      </c>
      <c r="C246" s="30" t="n">
        <v>-32</v>
      </c>
      <c r="D246" s="30" t="n">
        <v>-69</v>
      </c>
      <c r="E246" s="30">
        <f>B246+C246+D246</f>
        <v/>
      </c>
      <c r="F246" s="31" t="n">
        <v>-0.2163</v>
      </c>
    </row>
    <row r="247">
      <c r="A247" s="29" t="n">
        <v>48.4</v>
      </c>
      <c r="B247" s="30" t="n">
        <v>115</v>
      </c>
      <c r="C247" s="30" t="n">
        <v>-29</v>
      </c>
      <c r="D247" s="30" t="n">
        <v>-60</v>
      </c>
      <c r="E247" s="30">
        <f>B247+C247+D247</f>
        <v/>
      </c>
      <c r="F247" s="31" t="n">
        <v>-0.2163</v>
      </c>
    </row>
    <row r="248">
      <c r="A248" s="29" t="n">
        <v>48.6</v>
      </c>
      <c r="B248" s="30" t="n">
        <v>114</v>
      </c>
      <c r="C248" s="30" t="n">
        <v>-32</v>
      </c>
      <c r="D248" s="30" t="n">
        <v>-68</v>
      </c>
      <c r="E248" s="30">
        <f>B248+C248+D248</f>
        <v/>
      </c>
      <c r="F248" s="31" t="n">
        <v>-0.2178</v>
      </c>
    </row>
    <row r="249">
      <c r="A249" s="29" t="n">
        <v>48.8</v>
      </c>
      <c r="B249" s="30" t="n">
        <v>115</v>
      </c>
      <c r="C249" s="30" t="n">
        <v>-30</v>
      </c>
      <c r="D249" s="30" t="n">
        <v>-60</v>
      </c>
      <c r="E249" s="30">
        <f>B249+C249+D249</f>
        <v/>
      </c>
      <c r="F249" s="31" t="n">
        <v>-0.2178</v>
      </c>
    </row>
    <row r="250">
      <c r="A250" s="29" t="n">
        <v>49</v>
      </c>
      <c r="B250" s="30" t="n">
        <v>112</v>
      </c>
      <c r="C250" s="30" t="n">
        <v>-33</v>
      </c>
      <c r="D250" s="30" t="n">
        <v>-64</v>
      </c>
      <c r="E250" s="30">
        <f>B250+C250+D250</f>
        <v/>
      </c>
      <c r="F250" s="31" t="n">
        <v>-0.2178</v>
      </c>
    </row>
    <row r="251">
      <c r="A251" s="29" t="n">
        <v>49.2</v>
      </c>
      <c r="B251" s="30" t="n">
        <v>109</v>
      </c>
      <c r="C251" s="30" t="n">
        <v>-30</v>
      </c>
      <c r="D251" s="30" t="n">
        <v>-63</v>
      </c>
      <c r="E251" s="30">
        <f>B251+C251+D251</f>
        <v/>
      </c>
      <c r="F251" s="31" t="n">
        <v>-0.2178</v>
      </c>
    </row>
    <row r="252">
      <c r="A252" s="29" t="n">
        <v>49.4</v>
      </c>
      <c r="B252" s="30" t="n">
        <v>116</v>
      </c>
      <c r="C252" s="30" t="n">
        <v>-30</v>
      </c>
      <c r="D252" s="30" t="n">
        <v>-62</v>
      </c>
      <c r="E252" s="30">
        <f>B252+C252+D252</f>
        <v/>
      </c>
      <c r="F252" s="31" t="n">
        <v>-0.2163</v>
      </c>
    </row>
    <row r="253">
      <c r="A253" s="29" t="n">
        <v>49.6</v>
      </c>
      <c r="B253" s="30" t="n">
        <v>115</v>
      </c>
      <c r="C253" s="30" t="n">
        <v>-28</v>
      </c>
      <c r="D253" s="30" t="n">
        <v>-62</v>
      </c>
      <c r="E253" s="30">
        <f>B253+C253+D253</f>
        <v/>
      </c>
      <c r="F253" s="31" t="n">
        <v>-0.2163</v>
      </c>
    </row>
    <row r="254">
      <c r="A254" s="29" t="n">
        <v>49.8</v>
      </c>
      <c r="B254" s="30" t="n">
        <v>113</v>
      </c>
      <c r="C254" s="30" t="n">
        <v>-45</v>
      </c>
      <c r="D254" s="30" t="n">
        <v>-69</v>
      </c>
      <c r="E254" s="30">
        <f>B254+C254+D254</f>
        <v/>
      </c>
      <c r="F254" s="31" t="n">
        <v>-0.2163</v>
      </c>
    </row>
    <row r="255">
      <c r="A255" s="29" t="n">
        <v>50</v>
      </c>
      <c r="B255" s="30" t="n">
        <v>114</v>
      </c>
      <c r="C255" s="30" t="n">
        <v>-29</v>
      </c>
      <c r="D255" s="30" t="n">
        <v>-62</v>
      </c>
      <c r="E255" s="30">
        <f>B255+C255+D255</f>
        <v/>
      </c>
      <c r="F255" s="31" t="n">
        <v>-0.2163</v>
      </c>
    </row>
    <row r="256">
      <c r="A256" s="29" t="n">
        <v>50.2</v>
      </c>
      <c r="B256" s="30" t="n">
        <v>113</v>
      </c>
      <c r="C256" s="30" t="n">
        <v>-30</v>
      </c>
      <c r="D256" s="30" t="n">
        <v>-64</v>
      </c>
      <c r="E256" s="30">
        <f>B256+C256+D256</f>
        <v/>
      </c>
      <c r="F256" s="31" t="n">
        <v>-0.2163</v>
      </c>
    </row>
    <row r="257">
      <c r="A257" s="29" t="n">
        <v>50.4</v>
      </c>
      <c r="B257" s="30" t="n">
        <v>118</v>
      </c>
      <c r="C257" s="30" t="n">
        <v>-34</v>
      </c>
      <c r="D257" s="30" t="n">
        <v>-64</v>
      </c>
      <c r="E257" s="30">
        <f>B257+C257+D257</f>
        <v/>
      </c>
      <c r="F257" s="31" t="n">
        <v>-0.2194</v>
      </c>
    </row>
    <row r="258">
      <c r="A258" s="29" t="n">
        <v>50.6</v>
      </c>
      <c r="B258" s="30" t="n">
        <v>117</v>
      </c>
      <c r="C258" s="30" t="n">
        <v>-32</v>
      </c>
      <c r="D258" s="30" t="n">
        <v>-62</v>
      </c>
      <c r="E258" s="30">
        <f>B258+C258+D258</f>
        <v/>
      </c>
      <c r="F258" s="31" t="n">
        <v>-0.2178</v>
      </c>
    </row>
    <row r="259">
      <c r="A259" s="29" t="n">
        <v>50.8</v>
      </c>
      <c r="B259" s="30" t="n">
        <v>111</v>
      </c>
      <c r="C259" s="30" t="n">
        <v>-30</v>
      </c>
      <c r="D259" s="30" t="n">
        <v>-64</v>
      </c>
      <c r="E259" s="30">
        <f>B259+C259+D259</f>
        <v/>
      </c>
      <c r="F259" s="31" t="n">
        <v>-0.2178</v>
      </c>
    </row>
    <row r="260">
      <c r="A260" s="29" t="n">
        <v>51</v>
      </c>
      <c r="B260" s="30" t="n">
        <v>121</v>
      </c>
      <c r="C260" s="30" t="n">
        <v>-28</v>
      </c>
      <c r="D260" s="30" t="n">
        <v>-62</v>
      </c>
      <c r="E260" s="30">
        <f>B260+C260+D260</f>
        <v/>
      </c>
      <c r="F260" s="31" t="n">
        <v>-0.2178</v>
      </c>
    </row>
    <row r="261">
      <c r="A261" s="29" t="n">
        <v>51.2</v>
      </c>
      <c r="B261" s="30" t="n">
        <v>117</v>
      </c>
      <c r="C261" s="30" t="n">
        <v>-39</v>
      </c>
      <c r="D261" s="30" t="n">
        <v>-62</v>
      </c>
      <c r="E261" s="30">
        <f>B261+C261+D261</f>
        <v/>
      </c>
      <c r="F261" s="31" t="n">
        <v>-0.2178</v>
      </c>
    </row>
    <row r="262">
      <c r="A262" s="29" t="n">
        <v>51.4</v>
      </c>
      <c r="B262" s="30" t="n">
        <v>116</v>
      </c>
      <c r="C262" s="30" t="n">
        <v>-35</v>
      </c>
      <c r="D262" s="30" t="n">
        <v>-40</v>
      </c>
      <c r="E262" s="30">
        <f>B262+C262+D262</f>
        <v/>
      </c>
      <c r="F262" s="31" t="n">
        <v>-0.2178</v>
      </c>
    </row>
    <row r="263">
      <c r="A263" s="29" t="n">
        <v>51.6</v>
      </c>
      <c r="B263" s="30" t="n">
        <v>115</v>
      </c>
      <c r="C263" s="30" t="n">
        <v>-31</v>
      </c>
      <c r="D263" s="30" t="n">
        <v>-68</v>
      </c>
      <c r="E263" s="30">
        <f>B263+C263+D263</f>
        <v/>
      </c>
      <c r="F263" s="31" t="n">
        <v>-0.2178</v>
      </c>
    </row>
    <row r="264">
      <c r="A264" s="29" t="n">
        <v>51.8</v>
      </c>
      <c r="B264" s="30" t="n">
        <v>114</v>
      </c>
      <c r="C264" s="30" t="n">
        <v>-28</v>
      </c>
      <c r="D264" s="30" t="n">
        <v>-65</v>
      </c>
      <c r="E264" s="30">
        <f>B264+C264+D264</f>
        <v/>
      </c>
      <c r="F264" s="31" t="n">
        <v>-0.2147</v>
      </c>
    </row>
    <row r="265">
      <c r="A265" s="29" t="n">
        <v>52</v>
      </c>
      <c r="B265" s="30" t="n">
        <v>2</v>
      </c>
      <c r="C265" s="30" t="n">
        <v>4</v>
      </c>
      <c r="D265" s="30" t="n">
        <v>0</v>
      </c>
      <c r="E265" s="30">
        <f>B265+C265+D265</f>
        <v/>
      </c>
      <c r="F265" s="31" t="n">
        <v>-0.2163</v>
      </c>
    </row>
    <row r="266">
      <c r="A266" s="29" t="n">
        <v>52.2</v>
      </c>
      <c r="B266" s="30" t="n">
        <v>2</v>
      </c>
      <c r="C266" s="30" t="n">
        <v>3</v>
      </c>
      <c r="D266" s="30" t="n">
        <v>0</v>
      </c>
      <c r="E266" s="30">
        <f>B266+C266+D266</f>
        <v/>
      </c>
      <c r="F266" s="31" t="n">
        <v>-0.2163</v>
      </c>
    </row>
    <row r="267">
      <c r="A267" s="29" t="n">
        <v>52.4</v>
      </c>
      <c r="B267" s="30" t="n">
        <v>12</v>
      </c>
      <c r="C267" s="30" t="n">
        <v>1</v>
      </c>
      <c r="D267" s="30" t="n">
        <v>0</v>
      </c>
      <c r="E267" s="30">
        <f>B267+C267+D267</f>
        <v/>
      </c>
      <c r="F267" s="31" t="n">
        <v>-0.2178</v>
      </c>
    </row>
    <row r="268">
      <c r="A268" s="29" t="n">
        <v>52.6</v>
      </c>
      <c r="B268" s="30" t="n">
        <v>13</v>
      </c>
      <c r="C268" s="30" t="n">
        <v>12</v>
      </c>
      <c r="D268" s="30" t="n">
        <v>0</v>
      </c>
      <c r="E268" s="30">
        <f>B268+C268+D268</f>
        <v/>
      </c>
      <c r="F268" s="31" t="n">
        <v>-0.2178</v>
      </c>
    </row>
    <row r="269">
      <c r="A269" s="29" t="n">
        <v>52.8</v>
      </c>
      <c r="B269" s="30" t="n">
        <v>12</v>
      </c>
      <c r="C269" s="30" t="n">
        <v>0</v>
      </c>
      <c r="D269" s="30" t="n">
        <v>0</v>
      </c>
      <c r="E269" s="30">
        <f>B269+C269+D269</f>
        <v/>
      </c>
      <c r="F269" s="31" t="n">
        <v>-0.2178</v>
      </c>
    </row>
    <row r="270">
      <c r="A270" s="29" t="n">
        <v>53</v>
      </c>
      <c r="B270" s="30" t="n">
        <v>16</v>
      </c>
      <c r="C270" s="30" t="n">
        <v>6</v>
      </c>
      <c r="D270" s="30" t="n">
        <v>0</v>
      </c>
      <c r="E270" s="30">
        <f>B270+C270+D270</f>
        <v/>
      </c>
      <c r="F270" s="31" t="n">
        <v>-0.2178</v>
      </c>
    </row>
    <row r="271">
      <c r="A271" s="29" t="n">
        <v>53.2</v>
      </c>
      <c r="B271" s="30" t="n">
        <v>9</v>
      </c>
      <c r="C271" s="30" t="n">
        <v>2</v>
      </c>
      <c r="D271" s="30" t="n">
        <v>0</v>
      </c>
      <c r="E271" s="30">
        <f>B271+C271+D271</f>
        <v/>
      </c>
      <c r="F271" s="31" t="n">
        <v>-0.2178</v>
      </c>
    </row>
    <row r="272">
      <c r="A272" s="29" t="n">
        <v>53.4</v>
      </c>
      <c r="B272" s="30" t="n">
        <v>14</v>
      </c>
      <c r="C272" s="30" t="n">
        <v>0</v>
      </c>
      <c r="D272" s="30" t="n">
        <v>0</v>
      </c>
      <c r="E272" s="30">
        <f>B272+C272+D272</f>
        <v/>
      </c>
      <c r="F272" s="31" t="n">
        <v>-0.2178</v>
      </c>
    </row>
    <row r="273">
      <c r="A273" s="29" t="n">
        <v>53.6</v>
      </c>
      <c r="B273" s="30" t="n">
        <v>15</v>
      </c>
      <c r="C273" s="30" t="n">
        <v>4</v>
      </c>
      <c r="D273" s="30" t="n">
        <v>0</v>
      </c>
      <c r="E273" s="30">
        <f>B273+C273+D273</f>
        <v/>
      </c>
      <c r="F273" s="31" t="n">
        <v>-0.2178</v>
      </c>
    </row>
    <row r="274">
      <c r="A274" s="29" t="n">
        <v>53.8</v>
      </c>
      <c r="B274" s="30" t="n">
        <v>12</v>
      </c>
      <c r="C274" s="30" t="n">
        <v>0</v>
      </c>
      <c r="D274" s="30" t="n">
        <v>0</v>
      </c>
      <c r="E274" s="30">
        <f>B274+C274+D274</f>
        <v/>
      </c>
      <c r="F274" s="31" t="n">
        <v>-0.2178</v>
      </c>
    </row>
    <row r="275">
      <c r="A275" s="29" t="n">
        <v>54</v>
      </c>
      <c r="B275" s="30" t="n">
        <v>7</v>
      </c>
      <c r="C275" s="30" t="n">
        <v>4</v>
      </c>
      <c r="D275" s="30" t="n">
        <v>0</v>
      </c>
      <c r="E275" s="30">
        <f>B275+C275+D275</f>
        <v/>
      </c>
      <c r="F275" s="31" t="n">
        <v>-0.2178</v>
      </c>
    </row>
    <row r="276">
      <c r="A276" s="29" t="n">
        <v>54.2</v>
      </c>
      <c r="B276" s="30" t="n">
        <v>18</v>
      </c>
      <c r="C276" s="30" t="n">
        <v>6</v>
      </c>
      <c r="D276" s="30" t="n">
        <v>0</v>
      </c>
      <c r="E276" s="30">
        <f>B276+C276+D276</f>
        <v/>
      </c>
      <c r="F276" s="31" t="n">
        <v>-0.2178</v>
      </c>
    </row>
    <row r="277">
      <c r="A277" s="29" t="n">
        <v>54.4</v>
      </c>
      <c r="B277" s="30" t="n">
        <v>3</v>
      </c>
      <c r="C277" s="30" t="n">
        <v>4</v>
      </c>
      <c r="D277" s="30" t="n">
        <v>0</v>
      </c>
      <c r="E277" s="30">
        <f>B277+C277+D277</f>
        <v/>
      </c>
      <c r="F277" s="31" t="n">
        <v>-0.2178</v>
      </c>
    </row>
    <row r="278">
      <c r="A278" s="29" t="n">
        <v>54.6</v>
      </c>
      <c r="B278" s="30" t="n">
        <v>14</v>
      </c>
      <c r="C278" s="30" t="n">
        <v>0</v>
      </c>
      <c r="D278" s="30" t="n">
        <v>0</v>
      </c>
      <c r="E278" s="30">
        <f>B278+C278+D278</f>
        <v/>
      </c>
      <c r="F278" s="31" t="n">
        <v>-0.2178</v>
      </c>
    </row>
    <row r="279">
      <c r="A279" s="29" t="n">
        <v>54.8</v>
      </c>
      <c r="B279" s="30" t="n">
        <v>14</v>
      </c>
      <c r="C279" s="30" t="n">
        <v>6</v>
      </c>
      <c r="D279" s="30" t="n">
        <v>0</v>
      </c>
      <c r="E279" s="30">
        <f>B279+C279+D279</f>
        <v/>
      </c>
      <c r="F279" s="31" t="n">
        <v>-0.2178</v>
      </c>
    </row>
    <row r="280">
      <c r="A280" s="29" t="n">
        <v>55</v>
      </c>
      <c r="B280" s="30" t="n">
        <v>13</v>
      </c>
      <c r="C280" s="30" t="n">
        <v>0</v>
      </c>
      <c r="D280" s="30" t="n">
        <v>16</v>
      </c>
      <c r="E280" s="30">
        <f>B280+C280+D280</f>
        <v/>
      </c>
      <c r="F280" s="31" t="n">
        <v>-0.2178</v>
      </c>
    </row>
    <row r="281">
      <c r="A281" s="29" t="n">
        <v>55.2</v>
      </c>
      <c r="B281" s="30" t="n">
        <v>14</v>
      </c>
      <c r="C281" s="30" t="n">
        <v>0</v>
      </c>
      <c r="D281" s="30" t="n">
        <v>0</v>
      </c>
      <c r="E281" s="30">
        <f>B281+C281+D281</f>
        <v/>
      </c>
      <c r="F281" s="31" t="n">
        <v>-0.2178</v>
      </c>
    </row>
    <row r="282">
      <c r="A282" s="29" t="n">
        <v>55.4</v>
      </c>
      <c r="B282" s="30" t="n">
        <v>11</v>
      </c>
      <c r="C282" s="30" t="n">
        <v>7</v>
      </c>
      <c r="D282" s="30" t="n">
        <v>0</v>
      </c>
      <c r="E282" s="30">
        <f>B282+C282+D282</f>
        <v/>
      </c>
      <c r="F282" s="31" t="n">
        <v>-0.2178</v>
      </c>
    </row>
    <row r="283">
      <c r="A283" s="29" t="n">
        <v>55.6</v>
      </c>
      <c r="B283" s="30" t="n">
        <v>8</v>
      </c>
      <c r="C283" s="30" t="n">
        <v>5</v>
      </c>
      <c r="D283" s="30" t="n">
        <v>1</v>
      </c>
      <c r="E283" s="30">
        <f>B283+C283+D283</f>
        <v/>
      </c>
      <c r="F283" s="31" t="n">
        <v>-0.2178</v>
      </c>
    </row>
    <row r="284">
      <c r="A284" s="29" t="n">
        <v>55.8</v>
      </c>
      <c r="B284" s="30" t="n">
        <v>10</v>
      </c>
      <c r="C284" s="30" t="n">
        <v>7</v>
      </c>
      <c r="D284" s="30" t="n">
        <v>0</v>
      </c>
      <c r="E284" s="30">
        <f>B284+C284+D284</f>
        <v/>
      </c>
      <c r="F284" s="31" t="n">
        <v>-0.2178</v>
      </c>
    </row>
    <row r="285">
      <c r="A285" s="29" t="n">
        <v>56</v>
      </c>
      <c r="B285" s="30" t="n">
        <v>13</v>
      </c>
      <c r="C285" s="30" t="n">
        <v>5</v>
      </c>
      <c r="D285" s="30" t="n">
        <v>0</v>
      </c>
      <c r="E285" s="30">
        <f>B285+C285+D285</f>
        <v/>
      </c>
      <c r="F285" s="31" t="n">
        <v>-0.2178</v>
      </c>
    </row>
    <row r="286">
      <c r="A286" s="29" t="n">
        <v>56.2</v>
      </c>
      <c r="B286" s="30" t="n">
        <v>13</v>
      </c>
      <c r="C286" s="30" t="n">
        <v>5</v>
      </c>
      <c r="D286" s="30" t="n">
        <v>0</v>
      </c>
      <c r="E286" s="30">
        <f>B286+C286+D286</f>
        <v/>
      </c>
      <c r="F286" s="31" t="n">
        <v>-0.2178</v>
      </c>
    </row>
    <row r="287">
      <c r="A287" s="29" t="n">
        <v>56.4</v>
      </c>
      <c r="B287" s="30" t="n">
        <v>12</v>
      </c>
      <c r="C287" s="30" t="n">
        <v>4</v>
      </c>
      <c r="D287" s="30" t="n">
        <v>0</v>
      </c>
      <c r="E287" s="30">
        <f>B287+C287+D287</f>
        <v/>
      </c>
      <c r="F287" s="31" t="n">
        <v>-0.2178</v>
      </c>
    </row>
    <row r="288">
      <c r="A288" s="29" t="n">
        <v>56.6</v>
      </c>
      <c r="B288" s="30" t="n">
        <v>9</v>
      </c>
      <c r="C288" s="30" t="n">
        <v>7</v>
      </c>
      <c r="D288" s="30" t="n">
        <v>0</v>
      </c>
      <c r="E288" s="30">
        <f>B288+C288+D288</f>
        <v/>
      </c>
      <c r="F288" s="31" t="n">
        <v>-0.2178</v>
      </c>
    </row>
    <row r="289">
      <c r="A289" s="29" t="n">
        <v>56.8</v>
      </c>
      <c r="B289" s="30" t="n">
        <v>13</v>
      </c>
      <c r="C289" s="30" t="n">
        <v>7</v>
      </c>
      <c r="D289" s="30" t="n">
        <v>0</v>
      </c>
      <c r="E289" s="30">
        <f>B289+C289+D289</f>
        <v/>
      </c>
      <c r="F289" s="31" t="n">
        <v>-0.2178</v>
      </c>
    </row>
    <row r="290">
      <c r="A290" s="29" t="n">
        <v>57</v>
      </c>
      <c r="B290" s="30" t="n">
        <v>11</v>
      </c>
      <c r="C290" s="30" t="n">
        <v>6</v>
      </c>
      <c r="D290" s="30" t="n">
        <v>8</v>
      </c>
      <c r="E290" s="30">
        <f>B290+C290+D290</f>
        <v/>
      </c>
      <c r="F290" s="31" t="n">
        <v>-0.2178</v>
      </c>
    </row>
    <row r="291">
      <c r="A291" s="29" t="n">
        <v>57.2</v>
      </c>
      <c r="B291" s="30" t="n">
        <v>10</v>
      </c>
      <c r="C291" s="30" t="n">
        <v>8</v>
      </c>
      <c r="D291" s="30" t="n">
        <v>0</v>
      </c>
      <c r="E291" s="30">
        <f>B291+C291+D291</f>
        <v/>
      </c>
      <c r="F291" s="31" t="n">
        <v>-0.2178</v>
      </c>
    </row>
    <row r="292">
      <c r="A292" s="29" t="n">
        <v>57.4</v>
      </c>
      <c r="B292" s="30" t="n">
        <v>11</v>
      </c>
      <c r="C292" s="30" t="n">
        <v>6</v>
      </c>
      <c r="D292" s="30" t="n">
        <v>0</v>
      </c>
      <c r="E292" s="30">
        <f>B292+C292+D292</f>
        <v/>
      </c>
      <c r="F292" s="31" t="n">
        <v>-0.2194</v>
      </c>
    </row>
    <row r="293">
      <c r="A293" s="29" t="n">
        <v>57.6</v>
      </c>
      <c r="B293" s="30" t="n">
        <v>12</v>
      </c>
      <c r="C293" s="30" t="n">
        <v>2</v>
      </c>
      <c r="D293" s="30" t="n">
        <v>0</v>
      </c>
      <c r="E293" s="30">
        <f>B293+C293+D293</f>
        <v/>
      </c>
      <c r="F293" s="31" t="n">
        <v>-0.2194</v>
      </c>
    </row>
    <row r="294">
      <c r="A294" s="29" t="n">
        <v>57.8</v>
      </c>
      <c r="B294" s="30" t="n">
        <v>13</v>
      </c>
      <c r="C294" s="30" t="n">
        <v>7</v>
      </c>
      <c r="D294" s="30" t="n">
        <v>0</v>
      </c>
      <c r="E294" s="30">
        <f>B294+C294+D294</f>
        <v/>
      </c>
      <c r="F294" s="31" t="n">
        <v>-0.2178</v>
      </c>
    </row>
    <row r="295">
      <c r="A295" s="29" t="n">
        <v>58</v>
      </c>
      <c r="B295" s="30" t="n">
        <v>11</v>
      </c>
      <c r="C295" s="30" t="n">
        <v>6</v>
      </c>
      <c r="D295" s="30" t="n">
        <v>0</v>
      </c>
      <c r="E295" s="30">
        <f>B295+C295+D295</f>
        <v/>
      </c>
      <c r="F295" s="31" t="n">
        <v>-0.2178</v>
      </c>
    </row>
    <row r="296">
      <c r="A296" s="29" t="n">
        <v>58.2</v>
      </c>
      <c r="B296" s="30" t="n">
        <v>11</v>
      </c>
      <c r="C296" s="30" t="n">
        <v>5</v>
      </c>
      <c r="D296" s="30" t="n">
        <v>0</v>
      </c>
      <c r="E296" s="30">
        <f>B296+C296+D296</f>
        <v/>
      </c>
      <c r="F296" s="31" t="n">
        <v>-0.2178</v>
      </c>
    </row>
    <row r="297">
      <c r="A297" s="29" t="n">
        <v>58.4</v>
      </c>
      <c r="B297" s="30" t="n">
        <v>3</v>
      </c>
      <c r="C297" s="30" t="n">
        <v>4</v>
      </c>
      <c r="D297" s="30" t="n">
        <v>0</v>
      </c>
      <c r="E297" s="30">
        <f>B297+C297+D297</f>
        <v/>
      </c>
      <c r="F297" s="31" t="n">
        <v>-0.2178</v>
      </c>
    </row>
    <row r="298">
      <c r="A298" s="29" t="n">
        <v>58.6</v>
      </c>
      <c r="B298" s="30" t="n">
        <v>2</v>
      </c>
      <c r="C298" s="30" t="n">
        <v>5</v>
      </c>
      <c r="D298" s="30" t="n">
        <v>0</v>
      </c>
      <c r="E298" s="30">
        <f>B298+C298+D298</f>
        <v/>
      </c>
      <c r="F298" s="31" t="n">
        <v>-0.2178</v>
      </c>
    </row>
    <row r="299">
      <c r="A299" s="29" t="n">
        <v>58.8</v>
      </c>
      <c r="B299" s="30" t="n">
        <v>10</v>
      </c>
      <c r="C299" s="30" t="n">
        <v>0</v>
      </c>
      <c r="D299" s="30" t="n">
        <v>0</v>
      </c>
      <c r="E299" s="30">
        <f>B299+C299+D299</f>
        <v/>
      </c>
      <c r="F299" s="31" t="n">
        <v>-0.2178</v>
      </c>
    </row>
    <row r="300">
      <c r="A300" s="29" t="n">
        <v>59</v>
      </c>
      <c r="B300" s="30" t="n">
        <v>10</v>
      </c>
      <c r="C300" s="30" t="n">
        <v>6</v>
      </c>
      <c r="D300" s="30" t="n">
        <v>0</v>
      </c>
      <c r="E300" s="30">
        <f>B300+C300+D300</f>
        <v/>
      </c>
      <c r="F300" s="31" t="n">
        <v>-0.2178</v>
      </c>
    </row>
    <row r="301">
      <c r="A301" s="29" t="n">
        <v>59.2</v>
      </c>
      <c r="B301" s="30" t="n">
        <v>11</v>
      </c>
      <c r="C301" s="30" t="n">
        <v>5</v>
      </c>
      <c r="D301" s="30" t="n">
        <v>0</v>
      </c>
      <c r="E301" s="30">
        <f>B301+C301+D301</f>
        <v/>
      </c>
      <c r="F301" s="31" t="n">
        <v>-0.2178</v>
      </c>
    </row>
    <row r="302">
      <c r="A302" s="29" t="n">
        <v>59.4</v>
      </c>
      <c r="B302" s="30" t="n">
        <v>15</v>
      </c>
      <c r="C302" s="30" t="n">
        <v>5</v>
      </c>
      <c r="D302" s="30" t="n">
        <v>0</v>
      </c>
      <c r="E302" s="30">
        <f>B302+C302+D302</f>
        <v/>
      </c>
      <c r="F302" s="31" t="n">
        <v>-0.2178</v>
      </c>
    </row>
    <row r="303">
      <c r="A303" s="29" t="n">
        <v>59.6</v>
      </c>
      <c r="B303" s="30" t="n">
        <v>12</v>
      </c>
      <c r="C303" s="30" t="n">
        <v>6</v>
      </c>
      <c r="D303" s="30" t="n">
        <v>0</v>
      </c>
      <c r="E303" s="30">
        <f>B303+C303+D303</f>
        <v/>
      </c>
      <c r="F303" s="31" t="n">
        <v>-0.2178</v>
      </c>
    </row>
    <row r="304">
      <c r="A304" s="29" t="n">
        <v>59.8</v>
      </c>
      <c r="B304" s="30" t="n">
        <v>14</v>
      </c>
      <c r="C304" s="30" t="n">
        <v>0</v>
      </c>
      <c r="D304" s="30" t="n">
        <v>0</v>
      </c>
      <c r="E304" s="30">
        <f>B304+C304+D304</f>
        <v/>
      </c>
      <c r="F304" s="31" t="n">
        <v>-0.2178</v>
      </c>
    </row>
    <row r="305">
      <c r="A305" s="29" t="n">
        <v>60</v>
      </c>
      <c r="B305" s="30" t="n">
        <v>14</v>
      </c>
      <c r="C305" s="30" t="n">
        <v>0</v>
      </c>
      <c r="D305" s="30" t="n">
        <v>0</v>
      </c>
      <c r="E305" s="30">
        <f>B305+C305+D305</f>
        <v/>
      </c>
      <c r="F305" s="31" t="n">
        <v>-0.2178</v>
      </c>
    </row>
    <row r="306">
      <c r="A306" s="29" t="n">
        <v>60.2</v>
      </c>
      <c r="B306" s="30" t="n">
        <v>11</v>
      </c>
      <c r="C306" s="30" t="n">
        <v>0</v>
      </c>
      <c r="D306" s="30" t="n">
        <v>0</v>
      </c>
      <c r="E306" s="30">
        <f>B306+C306+D306</f>
        <v/>
      </c>
      <c r="F306" s="31" t="n">
        <v>-0.2178</v>
      </c>
    </row>
    <row r="307">
      <c r="A307" s="29" t="n">
        <v>60.4</v>
      </c>
      <c r="B307" s="30" t="n">
        <v>9</v>
      </c>
      <c r="C307" s="30" t="n">
        <v>5</v>
      </c>
      <c r="D307" s="30" t="n">
        <v>0</v>
      </c>
      <c r="E307" s="30">
        <f>B307+C307+D307</f>
        <v/>
      </c>
      <c r="F307" s="31" t="n">
        <v>-0.2178</v>
      </c>
    </row>
    <row r="308">
      <c r="A308" s="29" t="n">
        <v>60.6</v>
      </c>
      <c r="B308" s="30" t="n">
        <v>11</v>
      </c>
      <c r="C308" s="30" t="n">
        <v>0</v>
      </c>
      <c r="D308" s="30" t="n">
        <v>0</v>
      </c>
      <c r="E308" s="30">
        <f>B308+C308+D308</f>
        <v/>
      </c>
      <c r="F308" s="31" t="n">
        <v>-0.2178</v>
      </c>
    </row>
    <row r="309">
      <c r="A309" s="29" t="n">
        <v>60.8</v>
      </c>
      <c r="B309" s="30" t="n">
        <v>-2</v>
      </c>
      <c r="C309" s="30" t="n">
        <v>4</v>
      </c>
      <c r="D309" s="30" t="n">
        <v>1</v>
      </c>
      <c r="E309" s="30">
        <f>B309+C309+D309</f>
        <v/>
      </c>
      <c r="F309" s="31" t="n">
        <v>-0.2178</v>
      </c>
    </row>
    <row r="310">
      <c r="A310" s="29" t="n">
        <v>61</v>
      </c>
      <c r="B310" s="30" t="n">
        <v>11</v>
      </c>
      <c r="C310" s="30" t="n">
        <v>2</v>
      </c>
      <c r="D310" s="30" t="n">
        <v>0</v>
      </c>
      <c r="E310" s="30">
        <f>B310+C310+D310</f>
        <v/>
      </c>
      <c r="F310" s="31" t="n">
        <v>-0.2194</v>
      </c>
    </row>
    <row r="311">
      <c r="A311" s="29" t="n">
        <v>61.2</v>
      </c>
      <c r="B311" s="30" t="n">
        <v>14</v>
      </c>
      <c r="C311" s="30" t="n">
        <v>9</v>
      </c>
      <c r="D311" s="30" t="n">
        <v>0</v>
      </c>
      <c r="E311" s="30">
        <f>B311+C311+D311</f>
        <v/>
      </c>
      <c r="F311" s="31" t="n">
        <v>-0.2178</v>
      </c>
    </row>
    <row r="312">
      <c r="A312" s="29" t="n">
        <v>61.4</v>
      </c>
      <c r="B312" s="30" t="n">
        <v>10</v>
      </c>
      <c r="C312" s="30" t="n">
        <v>7</v>
      </c>
      <c r="D312" s="30" t="n">
        <v>1</v>
      </c>
      <c r="E312" s="30">
        <f>B312+C312+D312</f>
        <v/>
      </c>
      <c r="F312" s="31" t="n">
        <v>-0.2178</v>
      </c>
    </row>
    <row r="313">
      <c r="A313" s="29" t="n">
        <v>61.6</v>
      </c>
      <c r="B313" s="30" t="n">
        <v>12</v>
      </c>
      <c r="C313" s="30" t="n">
        <v>3</v>
      </c>
      <c r="D313" s="30" t="n">
        <v>0</v>
      </c>
      <c r="E313" s="30">
        <f>B313+C313+D313</f>
        <v/>
      </c>
      <c r="F313" s="31" t="n">
        <v>-0.2178</v>
      </c>
    </row>
    <row r="314">
      <c r="A314" s="29" t="n">
        <v>61.8</v>
      </c>
      <c r="B314" s="30" t="n">
        <v>9</v>
      </c>
      <c r="C314" s="30" t="n">
        <v>4</v>
      </c>
      <c r="D314" s="30" t="n">
        <v>0</v>
      </c>
      <c r="E314" s="30">
        <f>B314+C314+D314</f>
        <v/>
      </c>
      <c r="F314" s="31" t="n">
        <v>-0.2178</v>
      </c>
    </row>
    <row r="315">
      <c r="A315" s="29" t="n">
        <v>62</v>
      </c>
      <c r="B315" s="30" t="n">
        <v>15</v>
      </c>
      <c r="C315" s="30" t="n">
        <v>7</v>
      </c>
      <c r="D315" s="30" t="n">
        <v>0</v>
      </c>
      <c r="E315" s="30">
        <f>B315+C315+D315</f>
        <v/>
      </c>
      <c r="F315" s="31" t="n">
        <v>-0.2178</v>
      </c>
    </row>
    <row r="316">
      <c r="A316" s="29" t="n">
        <v>62.2</v>
      </c>
      <c r="B316" s="30" t="n">
        <v>12</v>
      </c>
      <c r="C316" s="30" t="n">
        <v>4</v>
      </c>
      <c r="D316" s="30" t="n">
        <v>0</v>
      </c>
      <c r="E316" s="30">
        <f>B316+C316+D316</f>
        <v/>
      </c>
      <c r="F316" s="31" t="n">
        <v>-0.2178</v>
      </c>
    </row>
    <row r="317">
      <c r="A317" s="29" t="n">
        <v>62.4</v>
      </c>
      <c r="B317" s="30" t="n">
        <v>16</v>
      </c>
      <c r="C317" s="30" t="n">
        <v>6</v>
      </c>
      <c r="D317" s="30" t="n">
        <v>0</v>
      </c>
      <c r="E317" s="30">
        <f>B317+C317+D317</f>
        <v/>
      </c>
      <c r="F317" s="31" t="n">
        <v>-0.2163</v>
      </c>
    </row>
    <row r="318">
      <c r="A318" s="29" t="n">
        <v>62.6</v>
      </c>
      <c r="B318" s="30" t="n">
        <v>13</v>
      </c>
      <c r="C318" s="30" t="n">
        <v>7</v>
      </c>
      <c r="D318" s="30" t="n">
        <v>0</v>
      </c>
      <c r="E318" s="30">
        <f>B318+C318+D318</f>
        <v/>
      </c>
      <c r="F318" s="31" t="n">
        <v>-0.2178</v>
      </c>
    </row>
    <row r="319">
      <c r="A319" s="29" t="n">
        <v>62.8</v>
      </c>
      <c r="B319" s="30" t="n">
        <v>13</v>
      </c>
      <c r="C319" s="30" t="n">
        <v>10</v>
      </c>
      <c r="D319" s="30" t="n">
        <v>0</v>
      </c>
      <c r="E319" s="30">
        <f>B319+C319+D319</f>
        <v/>
      </c>
      <c r="F319" s="31" t="n">
        <v>-0.2178</v>
      </c>
    </row>
    <row r="320">
      <c r="A320" s="29" t="n">
        <v>63</v>
      </c>
      <c r="B320" s="30" t="n">
        <v>13</v>
      </c>
      <c r="C320" s="30" t="n">
        <v>5</v>
      </c>
      <c r="D320" s="30" t="n">
        <v>0</v>
      </c>
      <c r="E320" s="30">
        <f>B320+C320+D320</f>
        <v/>
      </c>
      <c r="F320" s="31" t="n">
        <v>-0.2178</v>
      </c>
    </row>
    <row r="321">
      <c r="A321" s="29" t="n">
        <v>63.2</v>
      </c>
      <c r="B321" s="30" t="n">
        <v>12</v>
      </c>
      <c r="C321" s="30" t="n">
        <v>7</v>
      </c>
      <c r="D321" s="30" t="n">
        <v>0</v>
      </c>
      <c r="E321" s="30">
        <f>B321+C321+D321</f>
        <v/>
      </c>
      <c r="F321" s="31" t="n">
        <v>-0.2178</v>
      </c>
    </row>
    <row r="322">
      <c r="A322" s="29" t="n">
        <v>63.4</v>
      </c>
      <c r="B322" s="30" t="n">
        <v>12</v>
      </c>
      <c r="C322" s="30" t="n">
        <v>7</v>
      </c>
      <c r="D322" s="30" t="n">
        <v>0</v>
      </c>
      <c r="E322" s="30">
        <f>B322+C322+D322</f>
        <v/>
      </c>
      <c r="F322" s="31" t="n">
        <v>-0.2163</v>
      </c>
    </row>
    <row r="323">
      <c r="A323" s="29" t="n">
        <v>63.6</v>
      </c>
      <c r="B323" s="30" t="n">
        <v>8</v>
      </c>
      <c r="C323" s="30" t="n">
        <v>7</v>
      </c>
      <c r="D323" s="30" t="n">
        <v>0</v>
      </c>
      <c r="E323" s="30">
        <f>B323+C323+D323</f>
        <v/>
      </c>
      <c r="F323" s="31" t="n">
        <v>-0.2163</v>
      </c>
    </row>
    <row r="324">
      <c r="A324" s="29" t="n">
        <v>63.8</v>
      </c>
      <c r="B324" s="30" t="n">
        <v>14</v>
      </c>
      <c r="C324" s="30" t="n">
        <v>8</v>
      </c>
      <c r="D324" s="30" t="n">
        <v>0</v>
      </c>
      <c r="E324" s="30">
        <f>B324+C324+D324</f>
        <v/>
      </c>
      <c r="F324" s="31" t="n">
        <v>-0.2163</v>
      </c>
    </row>
    <row r="325">
      <c r="A325" s="29" t="n">
        <v>64</v>
      </c>
      <c r="B325" s="30" t="n">
        <v>9</v>
      </c>
      <c r="C325" s="30" t="n">
        <v>7</v>
      </c>
      <c r="D325" s="30" t="n">
        <v>0</v>
      </c>
      <c r="E325" s="30">
        <f>B325+C325+D325</f>
        <v/>
      </c>
      <c r="F325" s="31" t="n">
        <v>-0.2163</v>
      </c>
    </row>
    <row r="326">
      <c r="A326" s="29" t="n">
        <v>64.2</v>
      </c>
      <c r="B326" s="30" t="n">
        <v>12</v>
      </c>
      <c r="C326" s="30" t="n">
        <v>5</v>
      </c>
      <c r="D326" s="30" t="n">
        <v>0</v>
      </c>
      <c r="E326" s="30">
        <f>B326+C326+D326</f>
        <v/>
      </c>
      <c r="F326" s="31" t="n">
        <v>-0.2163</v>
      </c>
    </row>
    <row r="327">
      <c r="A327" s="29" t="n">
        <v>64.40000000000001</v>
      </c>
      <c r="B327" s="30" t="n">
        <v>12</v>
      </c>
      <c r="C327" s="30" t="n">
        <v>7</v>
      </c>
      <c r="D327" s="30" t="n">
        <v>0</v>
      </c>
      <c r="E327" s="30">
        <f>B327+C327+D327</f>
        <v/>
      </c>
      <c r="F327" s="31" t="n">
        <v>-0.2163</v>
      </c>
    </row>
    <row r="328">
      <c r="A328" s="29" t="n">
        <v>64.59999999999999</v>
      </c>
      <c r="B328" s="30" t="n">
        <v>13</v>
      </c>
      <c r="C328" s="30" t="n">
        <v>3</v>
      </c>
      <c r="D328" s="30" t="n">
        <v>0</v>
      </c>
      <c r="E328" s="30">
        <f>B328+C328+D328</f>
        <v/>
      </c>
      <c r="F328" s="31" t="n">
        <v>-0.2163</v>
      </c>
    </row>
    <row r="329">
      <c r="A329" s="29" t="n">
        <v>64.8</v>
      </c>
      <c r="B329" s="30" t="n">
        <v>3</v>
      </c>
      <c r="C329" s="30" t="n">
        <v>3</v>
      </c>
      <c r="D329" s="30" t="n">
        <v>0</v>
      </c>
      <c r="E329" s="30">
        <f>B329+C329+D329</f>
        <v/>
      </c>
      <c r="F329" s="31" t="n">
        <v>-0.2163</v>
      </c>
    </row>
    <row r="330">
      <c r="A330" s="29" t="n">
        <v>65</v>
      </c>
      <c r="B330" s="30" t="n">
        <v>8</v>
      </c>
      <c r="C330" s="30" t="n">
        <v>7</v>
      </c>
      <c r="D330" s="30" t="n">
        <v>0</v>
      </c>
      <c r="E330" s="30">
        <f>B330+C330+D330</f>
        <v/>
      </c>
      <c r="F330" s="31" t="n">
        <v>-0.2163</v>
      </c>
    </row>
    <row r="331">
      <c r="A331" s="29" t="n">
        <v>65.2</v>
      </c>
      <c r="B331" s="30" t="n">
        <v>10</v>
      </c>
      <c r="C331" s="30" t="n">
        <v>7</v>
      </c>
      <c r="D331" s="30" t="n">
        <v>0</v>
      </c>
      <c r="E331" s="30">
        <f>B331+C331+D331</f>
        <v/>
      </c>
      <c r="F331" s="31" t="n">
        <v>-0.2163</v>
      </c>
    </row>
    <row r="332">
      <c r="A332" s="29" t="n">
        <v>65.40000000000001</v>
      </c>
      <c r="B332" s="30" t="n">
        <v>13</v>
      </c>
      <c r="C332" s="30" t="n">
        <v>10</v>
      </c>
      <c r="D332" s="30" t="n">
        <v>0</v>
      </c>
      <c r="E332" s="30">
        <f>B332+C332+D332</f>
        <v/>
      </c>
      <c r="F332" s="31" t="n">
        <v>-0.2163</v>
      </c>
    </row>
    <row r="333">
      <c r="A333" s="29" t="n">
        <v>65.59999999999999</v>
      </c>
      <c r="B333" s="30" t="n">
        <v>10</v>
      </c>
      <c r="C333" s="30" t="n">
        <v>6</v>
      </c>
      <c r="D333" s="30" t="n">
        <v>0</v>
      </c>
      <c r="E333" s="30">
        <f>B333+C333+D333</f>
        <v/>
      </c>
      <c r="F333" s="31" t="n">
        <v>-0.2163</v>
      </c>
    </row>
    <row r="334">
      <c r="A334" s="29" t="n">
        <v>65.8</v>
      </c>
      <c r="B334" s="30" t="n">
        <v>12</v>
      </c>
      <c r="C334" s="30" t="n">
        <v>0</v>
      </c>
      <c r="D334" s="30" t="n">
        <v>0</v>
      </c>
      <c r="E334" s="30">
        <f>B334+C334+D334</f>
        <v/>
      </c>
      <c r="F334" s="31" t="n">
        <v>-0.2163</v>
      </c>
    </row>
    <row r="335">
      <c r="A335" s="29" t="n">
        <v>66</v>
      </c>
      <c r="B335" s="30" t="n">
        <v>11</v>
      </c>
      <c r="C335" s="30" t="n">
        <v>0</v>
      </c>
      <c r="D335" s="30" t="n">
        <v>0</v>
      </c>
      <c r="E335" s="30">
        <f>B335+C335+D335</f>
        <v/>
      </c>
      <c r="F335" s="31" t="n">
        <v>-0.2163</v>
      </c>
    </row>
    <row r="336">
      <c r="A336" s="29" t="n">
        <v>66.2</v>
      </c>
      <c r="B336" s="30" t="n">
        <v>10</v>
      </c>
      <c r="C336" s="30" t="n">
        <v>0</v>
      </c>
      <c r="D336" s="30" t="n">
        <v>32</v>
      </c>
      <c r="E336" s="30">
        <f>B336+C336+D336</f>
        <v/>
      </c>
      <c r="F336" s="31" t="n">
        <v>-0.2163</v>
      </c>
    </row>
    <row r="337">
      <c r="A337" s="29" t="n">
        <v>66.40000000000001</v>
      </c>
      <c r="B337" s="30" t="n">
        <v>11</v>
      </c>
      <c r="C337" s="30" t="n">
        <v>0</v>
      </c>
      <c r="D337" s="30" t="n">
        <v>0</v>
      </c>
      <c r="E337" s="30">
        <f>B337+C337+D337</f>
        <v/>
      </c>
      <c r="F337" s="31" t="n">
        <v>-0.2163</v>
      </c>
    </row>
    <row r="338">
      <c r="A338" s="29" t="n">
        <v>66.59999999999999</v>
      </c>
      <c r="B338" s="30" t="n">
        <v>10</v>
      </c>
      <c r="C338" s="30" t="n">
        <v>0</v>
      </c>
      <c r="D338" s="30" t="n">
        <v>0</v>
      </c>
      <c r="E338" s="30">
        <f>B338+C338+D338</f>
        <v/>
      </c>
      <c r="F338" s="31" t="n">
        <v>-0.2163</v>
      </c>
    </row>
    <row r="339">
      <c r="A339" s="29" t="n">
        <v>66.8</v>
      </c>
      <c r="B339" s="30" t="n">
        <v>15</v>
      </c>
      <c r="C339" s="30" t="n">
        <v>0</v>
      </c>
      <c r="D339" s="30" t="n">
        <v>0</v>
      </c>
      <c r="E339" s="30">
        <f>B339+C339+D339</f>
        <v/>
      </c>
      <c r="F339" s="31" t="n">
        <v>-0.2163</v>
      </c>
    </row>
    <row r="340">
      <c r="A340" s="29" t="n">
        <v>67</v>
      </c>
      <c r="B340" s="30" t="n">
        <v>8</v>
      </c>
      <c r="C340" s="30" t="n">
        <v>2</v>
      </c>
      <c r="D340" s="30" t="n">
        <v>0</v>
      </c>
      <c r="E340" s="30">
        <f>B340+C340+D340</f>
        <v/>
      </c>
      <c r="F340" s="31" t="n">
        <v>-0.2163</v>
      </c>
    </row>
    <row r="341">
      <c r="A341" s="29" t="n">
        <v>67.2</v>
      </c>
      <c r="B341" s="30" t="n">
        <v>12</v>
      </c>
      <c r="C341" s="30" t="n">
        <v>7</v>
      </c>
      <c r="D341" s="30" t="n">
        <v>0</v>
      </c>
      <c r="E341" s="30">
        <f>B341+C341+D341</f>
        <v/>
      </c>
      <c r="F341" s="31" t="n">
        <v>-0.2163</v>
      </c>
    </row>
    <row r="342">
      <c r="A342" s="29" t="n">
        <v>67.40000000000001</v>
      </c>
      <c r="B342" s="30" t="n">
        <v>9</v>
      </c>
      <c r="C342" s="30" t="n">
        <v>0</v>
      </c>
      <c r="D342" s="30" t="n">
        <v>0</v>
      </c>
      <c r="E342" s="30">
        <f>B342+C342+D342</f>
        <v/>
      </c>
      <c r="F342" s="31" t="n">
        <v>-0.2163</v>
      </c>
    </row>
    <row r="343">
      <c r="A343" s="29" t="n">
        <v>67.59999999999999</v>
      </c>
      <c r="B343" s="30" t="n">
        <v>9</v>
      </c>
      <c r="C343" s="30" t="n">
        <v>5</v>
      </c>
      <c r="D343" s="30" t="n">
        <v>0</v>
      </c>
      <c r="E343" s="30">
        <f>B343+C343+D343</f>
        <v/>
      </c>
      <c r="F343" s="31" t="n">
        <v>-0.2163</v>
      </c>
    </row>
    <row r="344">
      <c r="A344" s="29" t="n">
        <v>67.8</v>
      </c>
      <c r="B344" s="30" t="n">
        <v>13</v>
      </c>
      <c r="C344" s="30" t="n">
        <v>7</v>
      </c>
      <c r="D344" s="30" t="n">
        <v>0</v>
      </c>
      <c r="E344" s="30">
        <f>B344+C344+D344</f>
        <v/>
      </c>
      <c r="F344" s="31" t="n">
        <v>-0.2163</v>
      </c>
    </row>
    <row r="345">
      <c r="A345" s="29" t="n">
        <v>68</v>
      </c>
      <c r="B345" s="30" t="n">
        <v>16</v>
      </c>
      <c r="C345" s="30" t="n">
        <v>7</v>
      </c>
      <c r="D345" s="30" t="n">
        <v>0</v>
      </c>
      <c r="E345" s="30">
        <f>B345+C345+D345</f>
        <v/>
      </c>
      <c r="F345" s="31" t="n">
        <v>-0.2147</v>
      </c>
    </row>
    <row r="346">
      <c r="A346" s="29" t="n">
        <v>68.2</v>
      </c>
      <c r="B346" s="30" t="n">
        <v>9</v>
      </c>
      <c r="C346" s="30" t="n">
        <v>7</v>
      </c>
      <c r="D346" s="30" t="n">
        <v>0</v>
      </c>
      <c r="E346" s="30">
        <f>B346+C346+D346</f>
        <v/>
      </c>
      <c r="F346" s="31" t="n">
        <v>-0.2163</v>
      </c>
    </row>
    <row r="347">
      <c r="A347" s="29" t="n">
        <v>68.40000000000001</v>
      </c>
      <c r="B347" s="30" t="n">
        <v>10</v>
      </c>
      <c r="C347" s="30" t="n">
        <v>0</v>
      </c>
      <c r="D347" s="30" t="n">
        <v>0</v>
      </c>
      <c r="E347" s="30">
        <f>B347+C347+D347</f>
        <v/>
      </c>
      <c r="F347" s="31" t="n">
        <v>-0.2147</v>
      </c>
    </row>
    <row r="348">
      <c r="A348" s="29" t="n">
        <v>68.59999999999999</v>
      </c>
      <c r="B348" s="30" t="n">
        <v>10</v>
      </c>
      <c r="C348" s="30" t="n">
        <v>6</v>
      </c>
      <c r="D348" s="30" t="n">
        <v>0</v>
      </c>
      <c r="E348" s="30">
        <f>B348+C348+D348</f>
        <v/>
      </c>
      <c r="F348" s="31" t="n">
        <v>-0.2163</v>
      </c>
    </row>
    <row r="349">
      <c r="A349" s="29" t="n">
        <v>68.8</v>
      </c>
      <c r="B349" s="30" t="n">
        <v>12</v>
      </c>
      <c r="C349" s="30" t="n">
        <v>0</v>
      </c>
      <c r="D349" s="30" t="n">
        <v>0</v>
      </c>
      <c r="E349" s="30">
        <f>B349+C349+D349</f>
        <v/>
      </c>
      <c r="F349" s="31" t="n">
        <v>-0.2147</v>
      </c>
    </row>
    <row r="350">
      <c r="A350" s="29" t="n">
        <v>69</v>
      </c>
      <c r="B350" s="30" t="n">
        <v>-2</v>
      </c>
      <c r="C350" s="30" t="n">
        <v>2</v>
      </c>
      <c r="D350" s="30" t="n">
        <v>0</v>
      </c>
      <c r="E350" s="30">
        <f>B350+C350+D350</f>
        <v/>
      </c>
      <c r="F350" s="31" t="n">
        <v>-0.2147</v>
      </c>
    </row>
    <row r="351">
      <c r="A351" s="29" t="n">
        <v>69.2</v>
      </c>
      <c r="B351" s="30" t="n">
        <v>3</v>
      </c>
      <c r="C351" s="30" t="n">
        <v>6</v>
      </c>
      <c r="D351" s="30" t="n">
        <v>0</v>
      </c>
      <c r="E351" s="30">
        <f>B351+C351+D351</f>
        <v/>
      </c>
      <c r="F351" s="31" t="n">
        <v>-0.2163</v>
      </c>
    </row>
    <row r="352">
      <c r="A352" s="29" t="n">
        <v>69.40000000000001</v>
      </c>
      <c r="B352" s="30" t="n">
        <v>5</v>
      </c>
      <c r="C352" s="30" t="n">
        <v>2</v>
      </c>
      <c r="D352" s="30" t="n">
        <v>0</v>
      </c>
      <c r="E352" s="30">
        <f>B352+C352+D352</f>
        <v/>
      </c>
      <c r="F352" s="31" t="n">
        <v>-0.2163</v>
      </c>
    </row>
    <row r="353">
      <c r="A353" s="29" t="n">
        <v>69.59999999999999</v>
      </c>
      <c r="B353" s="30" t="n">
        <v>-1</v>
      </c>
      <c r="C353" s="30" t="n">
        <v>0</v>
      </c>
      <c r="D353" s="30" t="n">
        <v>0</v>
      </c>
      <c r="E353" s="30">
        <f>B353+C353+D353</f>
        <v/>
      </c>
      <c r="F353" s="31" t="n">
        <v>-0.2147</v>
      </c>
    </row>
    <row r="354">
      <c r="A354" s="29" t="n">
        <v>69.8</v>
      </c>
      <c r="B354" s="30" t="n">
        <v>9</v>
      </c>
      <c r="C354" s="30" t="n">
        <v>4</v>
      </c>
      <c r="D354" s="30" t="n">
        <v>0</v>
      </c>
      <c r="E354" s="30">
        <f>B354+C354+D354</f>
        <v/>
      </c>
      <c r="F354" s="31" t="n">
        <v>-0.2147</v>
      </c>
    </row>
    <row r="355">
      <c r="A355" s="29" t="n">
        <v>70</v>
      </c>
      <c r="B355" s="30" t="n">
        <v>13</v>
      </c>
      <c r="C355" s="30" t="n">
        <v>8</v>
      </c>
      <c r="D355" s="30" t="n">
        <v>0</v>
      </c>
      <c r="E355" s="30">
        <f>B355+C355+D355</f>
        <v/>
      </c>
      <c r="F355" s="31" t="n">
        <v>-0.2147</v>
      </c>
    </row>
    <row r="356">
      <c r="A356" s="29" t="n">
        <v>70.2</v>
      </c>
      <c r="B356" s="30" t="n">
        <v>10</v>
      </c>
      <c r="C356" s="30" t="n">
        <v>6</v>
      </c>
      <c r="D356" s="30" t="n">
        <v>0</v>
      </c>
      <c r="E356" s="30">
        <f>B356+C356+D356</f>
        <v/>
      </c>
      <c r="F356" s="31" t="n">
        <v>-0.2148</v>
      </c>
    </row>
    <row r="357">
      <c r="A357" s="29" t="n">
        <v>70.40000000000001</v>
      </c>
      <c r="B357" s="30" t="n">
        <v>11</v>
      </c>
      <c r="C357" s="30" t="n">
        <v>7</v>
      </c>
      <c r="D357" s="30" t="n">
        <v>0</v>
      </c>
      <c r="E357" s="30">
        <f>B357+C357+D357</f>
        <v/>
      </c>
      <c r="F357" s="31" t="n">
        <v>-0.2148</v>
      </c>
    </row>
    <row r="358">
      <c r="A358" s="29" t="n">
        <v>70.59999999999999</v>
      </c>
      <c r="B358" s="30" t="n">
        <v>13</v>
      </c>
      <c r="C358" s="30" t="n">
        <v>3</v>
      </c>
      <c r="D358" s="30" t="n">
        <v>0</v>
      </c>
      <c r="E358" s="30">
        <f>B358+C358+D358</f>
        <v/>
      </c>
      <c r="F358" s="31" t="n">
        <v>-0.2147</v>
      </c>
    </row>
    <row r="359">
      <c r="A359" s="29" t="n">
        <v>70.8</v>
      </c>
      <c r="B359" s="30" t="n">
        <v>13</v>
      </c>
      <c r="C359" s="30" t="n">
        <v>4</v>
      </c>
      <c r="D359" s="30" t="n">
        <v>1</v>
      </c>
      <c r="E359" s="30">
        <f>B359+C359+D359</f>
        <v/>
      </c>
      <c r="F359" s="31" t="n">
        <v>-0.2147</v>
      </c>
    </row>
    <row r="360">
      <c r="A360" s="29" t="n">
        <v>71</v>
      </c>
      <c r="B360" s="30" t="n">
        <v>10</v>
      </c>
      <c r="C360" s="30" t="n">
        <v>7</v>
      </c>
      <c r="D360" s="30" t="n">
        <v>0</v>
      </c>
      <c r="E360" s="30">
        <f>B360+C360+D360</f>
        <v/>
      </c>
      <c r="F360" s="31" t="n">
        <v>-0.2147</v>
      </c>
    </row>
    <row r="361">
      <c r="A361" s="29" t="n">
        <v>71.2</v>
      </c>
      <c r="B361" s="30" t="n">
        <v>9</v>
      </c>
      <c r="C361" s="30" t="n">
        <v>6</v>
      </c>
      <c r="D361" s="30" t="n">
        <v>0</v>
      </c>
      <c r="E361" s="30">
        <f>B361+C361+D361</f>
        <v/>
      </c>
      <c r="F361" s="31" t="n">
        <v>-0.2148</v>
      </c>
    </row>
    <row r="362">
      <c r="A362" s="29" t="n">
        <v>71.40000000000001</v>
      </c>
      <c r="B362" s="30" t="n">
        <v>4</v>
      </c>
      <c r="C362" s="30" t="n">
        <v>6</v>
      </c>
      <c r="D362" s="30" t="n">
        <v>0</v>
      </c>
      <c r="E362" s="30">
        <f>B362+C362+D362</f>
        <v/>
      </c>
      <c r="F362" s="31" t="n">
        <v>-0.2148</v>
      </c>
    </row>
    <row r="363">
      <c r="A363" s="29" t="n">
        <v>71.59999999999999</v>
      </c>
      <c r="B363" s="30" t="n">
        <v>14</v>
      </c>
      <c r="C363" s="30" t="n">
        <v>6</v>
      </c>
      <c r="D363" s="30" t="n">
        <v>0</v>
      </c>
      <c r="E363" s="30">
        <f>B363+C363+D363</f>
        <v/>
      </c>
      <c r="F363" s="31" t="n">
        <v>-0.2148</v>
      </c>
    </row>
    <row r="364">
      <c r="A364" s="29" t="n">
        <v>71.8</v>
      </c>
      <c r="B364" s="30" t="n">
        <v>10</v>
      </c>
      <c r="C364" s="30" t="n">
        <v>5</v>
      </c>
      <c r="D364" s="30" t="n">
        <v>0</v>
      </c>
      <c r="E364" s="30">
        <f>B364+C364+D364</f>
        <v/>
      </c>
      <c r="F364" s="31" t="n">
        <v>-0.2148</v>
      </c>
    </row>
    <row r="365">
      <c r="A365" s="29" t="n">
        <v>72</v>
      </c>
      <c r="B365" s="30" t="n">
        <v>13</v>
      </c>
      <c r="C365" s="30" t="n">
        <v>5</v>
      </c>
      <c r="D365" s="30" t="n">
        <v>1</v>
      </c>
      <c r="E365" s="30">
        <f>B365+C365+D365</f>
        <v/>
      </c>
      <c r="F365" s="31" t="n">
        <v>-0.2147</v>
      </c>
    </row>
    <row r="366">
      <c r="A366" s="29" t="n">
        <v>72.2</v>
      </c>
      <c r="B366" s="30" t="n">
        <v>11</v>
      </c>
      <c r="C366" s="30" t="n">
        <v>7</v>
      </c>
      <c r="D366" s="30" t="n">
        <v>22</v>
      </c>
      <c r="E366" s="30">
        <f>B366+C366+D366</f>
        <v/>
      </c>
      <c r="F366" s="31" t="n">
        <v>-0.2148</v>
      </c>
    </row>
    <row r="367">
      <c r="A367" s="29" t="n">
        <v>72.40000000000001</v>
      </c>
      <c r="B367" s="30" t="n">
        <v>11</v>
      </c>
      <c r="C367" s="30" t="n">
        <v>4</v>
      </c>
      <c r="D367" s="30" t="n">
        <v>0</v>
      </c>
      <c r="E367" s="30">
        <f>B367+C367+D367</f>
        <v/>
      </c>
      <c r="F367" s="31" t="n">
        <v>-0.2148</v>
      </c>
    </row>
    <row r="368">
      <c r="A368" s="29" t="n">
        <v>72.59999999999999</v>
      </c>
      <c r="B368" s="30" t="n">
        <v>10</v>
      </c>
      <c r="C368" s="30" t="n">
        <v>6</v>
      </c>
      <c r="D368" s="30" t="n">
        <v>0</v>
      </c>
      <c r="E368" s="30">
        <f>B368+C368+D368</f>
        <v/>
      </c>
      <c r="F368" s="31" t="n">
        <v>-0.2148</v>
      </c>
    </row>
    <row r="369">
      <c r="A369" s="29" t="n">
        <v>72.8</v>
      </c>
      <c r="B369" s="30" t="n">
        <v>12</v>
      </c>
      <c r="C369" s="30" t="n">
        <v>8</v>
      </c>
      <c r="D369" s="30" t="n">
        <v>0</v>
      </c>
      <c r="E369" s="30">
        <f>B369+C369+D369</f>
        <v/>
      </c>
      <c r="F369" s="31" t="n">
        <v>-0.2148</v>
      </c>
    </row>
    <row r="370">
      <c r="A370" s="29" t="n">
        <v>73</v>
      </c>
      <c r="B370" s="30" t="n">
        <v>12</v>
      </c>
      <c r="C370" s="30" t="n">
        <v>6</v>
      </c>
      <c r="D370" s="30" t="n">
        <v>0</v>
      </c>
      <c r="E370" s="30">
        <f>B370+C370+D370</f>
        <v/>
      </c>
      <c r="F370" s="31" t="n">
        <v>-0.2148</v>
      </c>
    </row>
    <row r="371">
      <c r="A371" s="29" t="n">
        <v>73.2</v>
      </c>
      <c r="B371" s="30" t="n">
        <v>11</v>
      </c>
      <c r="C371" s="30" t="n">
        <v>7</v>
      </c>
      <c r="D371" s="30" t="n">
        <v>0</v>
      </c>
      <c r="E371" s="30">
        <f>B371+C371+D371</f>
        <v/>
      </c>
      <c r="F371" s="31" t="n">
        <v>-0.2132</v>
      </c>
    </row>
    <row r="372">
      <c r="A372" s="29" t="n">
        <v>73.40000000000001</v>
      </c>
      <c r="B372" s="30" t="n">
        <v>8</v>
      </c>
      <c r="C372" s="30" t="n">
        <v>8</v>
      </c>
      <c r="D372" s="30" t="n">
        <v>0</v>
      </c>
      <c r="E372" s="30">
        <f>B372+C372+D372</f>
        <v/>
      </c>
      <c r="F372" s="31" t="n">
        <v>-0.2148</v>
      </c>
    </row>
    <row r="373">
      <c r="A373" s="29" t="n">
        <v>73.59999999999999</v>
      </c>
      <c r="B373" s="30" t="n">
        <v>7</v>
      </c>
      <c r="C373" s="30" t="n">
        <v>0</v>
      </c>
      <c r="D373" s="30" t="n">
        <v>0</v>
      </c>
      <c r="E373" s="30">
        <f>B373+C373+D373</f>
        <v/>
      </c>
      <c r="F373" s="31" t="n">
        <v>-0.2132</v>
      </c>
    </row>
    <row r="374">
      <c r="A374" s="29" t="n">
        <v>73.8</v>
      </c>
      <c r="B374" s="30" t="n">
        <v>2</v>
      </c>
      <c r="C374" s="30" t="n">
        <v>2</v>
      </c>
      <c r="D374" s="30" t="n">
        <v>0</v>
      </c>
      <c r="E374" s="30">
        <f>B374+C374+D374</f>
        <v/>
      </c>
      <c r="F374" s="31" t="n">
        <v>-0.2148</v>
      </c>
    </row>
    <row r="375">
      <c r="A375" s="29" t="n">
        <v>74</v>
      </c>
      <c r="B375" s="30" t="n">
        <v>10</v>
      </c>
      <c r="C375" s="30" t="n">
        <v>10</v>
      </c>
      <c r="D375" s="30" t="n">
        <v>0</v>
      </c>
      <c r="E375" s="30">
        <f>B375+C375+D375</f>
        <v/>
      </c>
      <c r="F375" s="31" t="n">
        <v>-0.2148</v>
      </c>
    </row>
    <row r="376">
      <c r="A376" s="29" t="n">
        <v>74.2</v>
      </c>
      <c r="B376" s="30" t="n">
        <v>1</v>
      </c>
      <c r="C376" s="30" t="n">
        <v>3</v>
      </c>
      <c r="D376" s="30" t="n">
        <v>0</v>
      </c>
      <c r="E376" s="30">
        <f>B376+C376+D376</f>
        <v/>
      </c>
      <c r="F376" s="31" t="n">
        <v>-0.2132</v>
      </c>
    </row>
    <row r="377">
      <c r="A377" s="29" t="n">
        <v>74.40000000000001</v>
      </c>
      <c r="B377" s="30" t="n">
        <v>3</v>
      </c>
      <c r="C377" s="30" t="n">
        <v>3</v>
      </c>
      <c r="D377" s="30" t="n">
        <v>0</v>
      </c>
      <c r="E377" s="30">
        <f>B377+C377+D377</f>
        <v/>
      </c>
      <c r="F377" s="31" t="n">
        <v>-0.2132</v>
      </c>
    </row>
    <row r="378">
      <c r="A378" s="29" t="n">
        <v>74.59999999999999</v>
      </c>
      <c r="B378" s="30" t="n">
        <v>12</v>
      </c>
      <c r="C378" s="30" t="n">
        <v>16</v>
      </c>
      <c r="D378" s="30" t="n">
        <v>0</v>
      </c>
      <c r="E378" s="30">
        <f>B378+C378+D378</f>
        <v/>
      </c>
      <c r="F378" s="31" t="n">
        <v>-0.2132</v>
      </c>
    </row>
    <row r="379">
      <c r="A379" s="29" t="n">
        <v>74.8</v>
      </c>
      <c r="B379" s="30" t="n">
        <v>6</v>
      </c>
      <c r="C379" s="30" t="n">
        <v>6</v>
      </c>
      <c r="D379" s="30" t="n">
        <v>0</v>
      </c>
      <c r="E379" s="30">
        <f>B379+C379+D379</f>
        <v/>
      </c>
      <c r="F379" s="31" t="n">
        <v>-0.2116</v>
      </c>
    </row>
    <row r="380">
      <c r="A380" s="29" t="n">
        <v>75</v>
      </c>
      <c r="B380" s="30" t="n">
        <v>10</v>
      </c>
      <c r="C380" s="30" t="n">
        <v>5</v>
      </c>
      <c r="D380" s="30" t="n">
        <v>0</v>
      </c>
      <c r="E380" s="30">
        <f>B380+C380+D380</f>
        <v/>
      </c>
      <c r="F380" s="31" t="n">
        <v>-0.2132</v>
      </c>
    </row>
    <row r="381">
      <c r="A381" s="29" t="n">
        <v>75.2</v>
      </c>
      <c r="B381" s="30" t="n">
        <v>11</v>
      </c>
      <c r="C381" s="30" t="n">
        <v>5</v>
      </c>
      <c r="D381" s="30" t="n">
        <v>0</v>
      </c>
      <c r="E381" s="30">
        <f>B381+C381+D381</f>
        <v/>
      </c>
      <c r="F381" s="31" t="n">
        <v>-0.2148</v>
      </c>
    </row>
    <row r="382">
      <c r="A382" s="29" t="n">
        <v>75.40000000000001</v>
      </c>
      <c r="B382" s="30" t="n">
        <v>8</v>
      </c>
      <c r="C382" s="30" t="n">
        <v>7</v>
      </c>
      <c r="D382" s="30" t="n">
        <v>0</v>
      </c>
      <c r="E382" s="30">
        <f>B382+C382+D382</f>
        <v/>
      </c>
      <c r="F382" s="31" t="n">
        <v>-0.2132</v>
      </c>
    </row>
    <row r="383">
      <c r="A383" s="29" t="n">
        <v>75.59999999999999</v>
      </c>
      <c r="B383" s="30" t="n">
        <v>12</v>
      </c>
      <c r="C383" s="30" t="n">
        <v>3</v>
      </c>
      <c r="D383" s="30" t="n">
        <v>0</v>
      </c>
      <c r="E383" s="30">
        <f>B383+C383+D383</f>
        <v/>
      </c>
      <c r="F383" s="31" t="n">
        <v>-0.2132</v>
      </c>
    </row>
    <row r="384">
      <c r="A384" s="29" t="n">
        <v>75.8</v>
      </c>
      <c r="B384" s="30" t="n">
        <v>12</v>
      </c>
      <c r="C384" s="30" t="n">
        <v>9</v>
      </c>
      <c r="D384" s="30" t="n">
        <v>0</v>
      </c>
      <c r="E384" s="30">
        <f>B384+C384+D384</f>
        <v/>
      </c>
      <c r="F384" s="31" t="n">
        <v>-0.2132</v>
      </c>
    </row>
    <row r="385">
      <c r="A385" s="29" t="n">
        <v>76</v>
      </c>
      <c r="B385" s="30" t="n">
        <v>7</v>
      </c>
      <c r="C385" s="30" t="n">
        <v>5</v>
      </c>
      <c r="D385" s="30" t="n">
        <v>0</v>
      </c>
      <c r="E385" s="30">
        <f>B385+C385+D385</f>
        <v/>
      </c>
      <c r="F385" s="31" t="n">
        <v>-0.2132</v>
      </c>
    </row>
    <row r="386">
      <c r="A386" s="29" t="n">
        <v>76.2</v>
      </c>
      <c r="B386" s="30" t="n">
        <v>14</v>
      </c>
      <c r="C386" s="30" t="n">
        <v>6</v>
      </c>
      <c r="D386" s="30" t="n">
        <v>0</v>
      </c>
      <c r="E386" s="30">
        <f>B386+C386+D386</f>
        <v/>
      </c>
      <c r="F386" s="31" t="n">
        <v>-0.2132</v>
      </c>
    </row>
    <row r="387">
      <c r="A387" s="29" t="n">
        <v>76.40000000000001</v>
      </c>
      <c r="B387" s="30" t="n">
        <v>16</v>
      </c>
      <c r="C387" s="30" t="n">
        <v>0</v>
      </c>
      <c r="D387" s="30" t="n">
        <v>0</v>
      </c>
      <c r="E387" s="30">
        <f>B387+C387+D387</f>
        <v/>
      </c>
      <c r="F387" s="31" t="n">
        <v>-0.2132</v>
      </c>
    </row>
    <row r="388">
      <c r="A388" s="29" t="n">
        <v>76.59999999999999</v>
      </c>
      <c r="B388" s="30" t="n">
        <v>-2</v>
      </c>
      <c r="C388" s="30" t="n">
        <v>3</v>
      </c>
      <c r="D388" s="30" t="n">
        <v>0</v>
      </c>
      <c r="E388" s="30">
        <f>B388+C388+D388</f>
        <v/>
      </c>
      <c r="F388" s="31" t="n">
        <v>-0.2132</v>
      </c>
    </row>
    <row r="389">
      <c r="A389" s="29" t="n">
        <v>76.8</v>
      </c>
      <c r="B389" s="30" t="n">
        <v>12</v>
      </c>
      <c r="C389" s="30" t="n">
        <v>1</v>
      </c>
      <c r="D389" s="30" t="n">
        <v>0</v>
      </c>
      <c r="E389" s="30">
        <f>B389+C389+D389</f>
        <v/>
      </c>
      <c r="F389" s="31" t="n">
        <v>-0.2132</v>
      </c>
    </row>
    <row r="390">
      <c r="A390" s="29" t="n">
        <v>77</v>
      </c>
      <c r="B390" s="30" t="n">
        <v>13</v>
      </c>
      <c r="C390" s="30" t="n">
        <v>9</v>
      </c>
      <c r="D390" s="30" t="n">
        <v>0</v>
      </c>
      <c r="E390" s="30">
        <f>B390+C390+D390</f>
        <v/>
      </c>
      <c r="F390" s="31" t="n">
        <v>-0.2132</v>
      </c>
    </row>
    <row r="391">
      <c r="A391" s="29" t="n">
        <v>77.2</v>
      </c>
      <c r="B391" s="30" t="n">
        <v>9</v>
      </c>
      <c r="C391" s="30" t="n">
        <v>6</v>
      </c>
      <c r="D391" s="30" t="n">
        <v>0</v>
      </c>
      <c r="E391" s="30">
        <f>B391+C391+D391</f>
        <v/>
      </c>
      <c r="F391" s="31" t="n">
        <v>-0.2132</v>
      </c>
    </row>
    <row r="392">
      <c r="A392" s="29" t="n">
        <v>77.40000000000001</v>
      </c>
      <c r="B392" s="30" t="n">
        <v>12</v>
      </c>
      <c r="C392" s="30" t="n">
        <v>6</v>
      </c>
      <c r="D392" s="30" t="n">
        <v>0</v>
      </c>
      <c r="E392" s="30">
        <f>B392+C392+D392</f>
        <v/>
      </c>
      <c r="F392" s="31" t="n">
        <v>-0.2132</v>
      </c>
    </row>
    <row r="393">
      <c r="A393" s="29" t="n">
        <v>77.59999999999999</v>
      </c>
      <c r="B393" s="30" t="n">
        <v>8</v>
      </c>
      <c r="C393" s="30" t="n">
        <v>4</v>
      </c>
      <c r="D393" s="30" t="n">
        <v>0</v>
      </c>
      <c r="E393" s="30">
        <f>B393+C393+D393</f>
        <v/>
      </c>
      <c r="F393" s="31" t="n">
        <v>-0.2132</v>
      </c>
    </row>
    <row r="394">
      <c r="A394" s="29" t="n">
        <v>77.8</v>
      </c>
      <c r="B394" s="30" t="n">
        <v>10</v>
      </c>
      <c r="C394" s="30" t="n">
        <v>5</v>
      </c>
      <c r="D394" s="30" t="n">
        <v>0</v>
      </c>
      <c r="E394" s="30">
        <f>B394+C394+D394</f>
        <v/>
      </c>
      <c r="F394" s="31" t="n">
        <v>-0.2116</v>
      </c>
    </row>
    <row r="395">
      <c r="A395" s="29" t="n">
        <v>78</v>
      </c>
      <c r="B395" s="30" t="n">
        <v>14</v>
      </c>
      <c r="C395" s="30" t="n">
        <v>0</v>
      </c>
      <c r="D395" s="30" t="n">
        <v>0</v>
      </c>
      <c r="E395" s="30">
        <f>B395+C395+D395</f>
        <v/>
      </c>
      <c r="F395" s="31" t="n">
        <v>-0.2132</v>
      </c>
    </row>
    <row r="396">
      <c r="A396" s="29" t="n">
        <v>78.2</v>
      </c>
      <c r="B396" s="30" t="n">
        <v>10</v>
      </c>
      <c r="C396" s="30" t="n">
        <v>6</v>
      </c>
      <c r="D396" s="30" t="n">
        <v>16</v>
      </c>
      <c r="E396" s="30">
        <f>B396+C396+D396</f>
        <v/>
      </c>
      <c r="F396" s="31" t="n">
        <v>-0.2132</v>
      </c>
    </row>
    <row r="397">
      <c r="A397" s="29" t="n">
        <v>78.40000000000001</v>
      </c>
      <c r="B397" s="30" t="n">
        <v>7</v>
      </c>
      <c r="C397" s="30" t="n">
        <v>6</v>
      </c>
      <c r="D397" s="30" t="n">
        <v>0</v>
      </c>
      <c r="E397" s="30">
        <f>B397+C397+D397</f>
        <v/>
      </c>
      <c r="F397" s="31" t="n">
        <v>-0.2117</v>
      </c>
    </row>
    <row r="398">
      <c r="A398" s="29" t="n">
        <v>78.59999999999999</v>
      </c>
      <c r="B398" s="30" t="n">
        <v>12</v>
      </c>
      <c r="C398" s="30" t="n">
        <v>4</v>
      </c>
      <c r="D398" s="30" t="n">
        <v>0</v>
      </c>
      <c r="E398" s="30">
        <f>B398+C398+D398</f>
        <v/>
      </c>
      <c r="F398" s="31" t="n">
        <v>-0.2117</v>
      </c>
    </row>
    <row r="399">
      <c r="A399" s="29" t="n">
        <v>78.8</v>
      </c>
      <c r="B399" s="30" t="n">
        <v>12</v>
      </c>
      <c r="C399" s="30" t="n">
        <v>4</v>
      </c>
      <c r="D399" s="30" t="n">
        <v>0</v>
      </c>
      <c r="E399" s="30">
        <f>B399+C399+D399</f>
        <v/>
      </c>
      <c r="F399" s="31" t="n">
        <v>-0.2132</v>
      </c>
    </row>
    <row r="400">
      <c r="A400" s="29" t="n">
        <v>79</v>
      </c>
      <c r="B400" s="30" t="n">
        <v>14</v>
      </c>
      <c r="C400" s="30" t="n">
        <v>2</v>
      </c>
      <c r="D400" s="30" t="n">
        <v>0</v>
      </c>
      <c r="E400" s="30">
        <f>B400+C400+D400</f>
        <v/>
      </c>
      <c r="F400" s="31" t="n">
        <v>-0.2117</v>
      </c>
    </row>
    <row r="401">
      <c r="A401" s="29" t="n">
        <v>79.2</v>
      </c>
      <c r="B401" s="30" t="n">
        <v>11</v>
      </c>
      <c r="C401" s="30" t="n">
        <v>0</v>
      </c>
      <c r="D401" s="30" t="n">
        <v>0</v>
      </c>
      <c r="E401" s="30">
        <f>B401+C401+D401</f>
        <v/>
      </c>
      <c r="F401" s="31" t="n">
        <v>-0.2117</v>
      </c>
    </row>
    <row r="402">
      <c r="A402" s="29" t="n">
        <v>79.40000000000001</v>
      </c>
      <c r="B402" s="30" t="n">
        <v>10</v>
      </c>
      <c r="C402" s="30" t="n">
        <v>6</v>
      </c>
      <c r="D402" s="30" t="n">
        <v>0</v>
      </c>
      <c r="E402" s="30">
        <f>B402+C402+D402</f>
        <v/>
      </c>
      <c r="F402" s="31" t="n">
        <v>-0.2117</v>
      </c>
    </row>
    <row r="403">
      <c r="A403" s="29" t="n">
        <v>79.59999999999999</v>
      </c>
      <c r="B403" s="30" t="n">
        <v>10</v>
      </c>
      <c r="C403" s="30" t="n">
        <v>7</v>
      </c>
      <c r="D403" s="30" t="n">
        <v>0</v>
      </c>
      <c r="E403" s="30">
        <f>B403+C403+D403</f>
        <v/>
      </c>
      <c r="F403" s="31" t="n">
        <v>-0.2117</v>
      </c>
    </row>
    <row r="404">
      <c r="A404" s="29" t="n">
        <v>79.8</v>
      </c>
      <c r="B404" s="30" t="n">
        <v>9</v>
      </c>
      <c r="C404" s="30" t="n">
        <v>5</v>
      </c>
      <c r="D404" s="30" t="n">
        <v>0</v>
      </c>
      <c r="E404" s="30">
        <f>B404+C404+D404</f>
        <v/>
      </c>
      <c r="F404" s="31" t="n">
        <v>-0.2117</v>
      </c>
    </row>
    <row r="405">
      <c r="A405" s="29" t="n">
        <v>80</v>
      </c>
      <c r="B405" s="30" t="n">
        <v>7</v>
      </c>
      <c r="C405" s="30" t="n">
        <v>7</v>
      </c>
      <c r="D405" s="30" t="n">
        <v>0</v>
      </c>
      <c r="E405" s="30">
        <f>B405+C405+D405</f>
        <v/>
      </c>
      <c r="F405" s="31" t="n">
        <v>-0.2117</v>
      </c>
    </row>
    <row r="406">
      <c r="A406" s="29" t="n">
        <v>80.2</v>
      </c>
      <c r="B406" s="30" t="n">
        <v>8</v>
      </c>
      <c r="C406" s="30" t="n">
        <v>7</v>
      </c>
      <c r="D406" s="30" t="n">
        <v>0</v>
      </c>
      <c r="E406" s="30">
        <f>B406+C406+D406</f>
        <v/>
      </c>
      <c r="F406" s="31" t="n">
        <v>-0.2117</v>
      </c>
    </row>
    <row r="407">
      <c r="A407" s="29" t="n">
        <v>80.40000000000001</v>
      </c>
      <c r="B407" s="30" t="n">
        <v>11</v>
      </c>
      <c r="C407" s="30" t="n">
        <v>0</v>
      </c>
      <c r="D407" s="30" t="n">
        <v>0</v>
      </c>
      <c r="E407" s="30">
        <f>B407+C407+D407</f>
        <v/>
      </c>
      <c r="F407" s="31" t="n">
        <v>-0.2117</v>
      </c>
    </row>
    <row r="408">
      <c r="A408" s="29" t="n">
        <v>80.59999999999999</v>
      </c>
      <c r="B408" s="30" t="n">
        <v>11</v>
      </c>
      <c r="C408" s="30" t="n">
        <v>7</v>
      </c>
      <c r="D408" s="30" t="n">
        <v>0</v>
      </c>
      <c r="E408" s="30">
        <f>B408+C408+D408</f>
        <v/>
      </c>
      <c r="F408" s="31" t="n">
        <v>-0.2117</v>
      </c>
    </row>
    <row r="409">
      <c r="A409" s="29" t="n">
        <v>80.8</v>
      </c>
      <c r="B409" s="30" t="n">
        <v>14</v>
      </c>
      <c r="C409" s="30" t="n">
        <v>9</v>
      </c>
      <c r="D409" s="30" t="n">
        <v>0</v>
      </c>
      <c r="E409" s="30">
        <f>B409+C409+D409</f>
        <v/>
      </c>
      <c r="F409" s="31" t="n">
        <v>-0.2117</v>
      </c>
    </row>
    <row r="410">
      <c r="A410" s="29" t="n">
        <v>81</v>
      </c>
      <c r="B410" s="30" t="n">
        <v>11</v>
      </c>
      <c r="C410" s="30" t="n">
        <v>5</v>
      </c>
      <c r="D410" s="30" t="n">
        <v>0</v>
      </c>
      <c r="E410" s="30">
        <f>B410+C410+D410</f>
        <v/>
      </c>
      <c r="F410" s="31" t="n">
        <v>-0.2117</v>
      </c>
    </row>
    <row r="411">
      <c r="A411" s="29" t="n">
        <v>81.2</v>
      </c>
      <c r="B411" s="30" t="n">
        <v>11</v>
      </c>
      <c r="C411" s="30" t="n">
        <v>6</v>
      </c>
      <c r="D411" s="30" t="n">
        <v>32</v>
      </c>
      <c r="E411" s="30">
        <f>B411+C411+D411</f>
        <v/>
      </c>
      <c r="F411" s="31" t="n">
        <v>-0.2117</v>
      </c>
    </row>
    <row r="412">
      <c r="A412" s="29" t="n">
        <v>81.40000000000001</v>
      </c>
      <c r="B412" s="30" t="n">
        <v>9</v>
      </c>
      <c r="C412" s="30" t="n">
        <v>7</v>
      </c>
      <c r="D412" s="30" t="n">
        <v>0</v>
      </c>
      <c r="E412" s="30">
        <f>B412+C412+D412</f>
        <v/>
      </c>
      <c r="F412" s="31" t="n">
        <v>-0.2117</v>
      </c>
    </row>
    <row r="413">
      <c r="A413" s="29" t="n">
        <v>81.59999999999999</v>
      </c>
      <c r="B413" s="30" t="n">
        <v>14</v>
      </c>
      <c r="C413" s="30" t="n">
        <v>6</v>
      </c>
      <c r="D413" s="30" t="n">
        <v>0</v>
      </c>
      <c r="E413" s="30">
        <f>B413+C413+D413</f>
        <v/>
      </c>
      <c r="F413" s="31" t="n">
        <v>-0.2117</v>
      </c>
    </row>
    <row r="414">
      <c r="A414" s="29" t="n">
        <v>81.8</v>
      </c>
      <c r="B414" s="30" t="n">
        <v>12</v>
      </c>
      <c r="C414" s="30" t="n">
        <v>7</v>
      </c>
      <c r="D414" s="30" t="n">
        <v>0</v>
      </c>
      <c r="E414" s="30">
        <f>B414+C414+D414</f>
        <v/>
      </c>
      <c r="F414" s="31" t="n">
        <v>-0.2117</v>
      </c>
    </row>
    <row r="415">
      <c r="A415" s="29" t="n">
        <v>82</v>
      </c>
      <c r="B415" s="30" t="n">
        <v>10</v>
      </c>
      <c r="C415" s="30" t="n">
        <v>8</v>
      </c>
      <c r="D415" s="30" t="n">
        <v>0</v>
      </c>
      <c r="E415" s="30">
        <f>B415+C415+D415</f>
        <v/>
      </c>
      <c r="F415" s="31" t="n">
        <v>-0.2117</v>
      </c>
    </row>
    <row r="416">
      <c r="A416" s="29" t="n">
        <v>82.2</v>
      </c>
      <c r="B416" s="30" t="n">
        <v>11</v>
      </c>
      <c r="C416" s="30" t="n">
        <v>8</v>
      </c>
      <c r="D416" s="30" t="n">
        <v>0</v>
      </c>
      <c r="E416" s="30">
        <f>B416+C416+D416</f>
        <v/>
      </c>
      <c r="F416" s="31" t="n">
        <v>-0.2117</v>
      </c>
    </row>
    <row r="417">
      <c r="A417" s="29" t="n">
        <v>82.40000000000001</v>
      </c>
      <c r="B417" s="30" t="n">
        <v>11</v>
      </c>
      <c r="C417" s="30" t="n">
        <v>8</v>
      </c>
      <c r="D417" s="30" t="n">
        <v>2</v>
      </c>
      <c r="E417" s="30">
        <f>B417+C417+D417</f>
        <v/>
      </c>
      <c r="F417" s="31" t="n">
        <v>-0.2117</v>
      </c>
    </row>
    <row r="418">
      <c r="A418" s="29" t="n">
        <v>82.59999999999999</v>
      </c>
      <c r="B418" s="30" t="n">
        <v>9</v>
      </c>
      <c r="C418" s="30" t="n">
        <v>4</v>
      </c>
      <c r="D418" s="30" t="n">
        <v>0</v>
      </c>
      <c r="E418" s="30">
        <f>B418+C418+D418</f>
        <v/>
      </c>
      <c r="F418" s="31" t="n">
        <v>-0.2117</v>
      </c>
    </row>
    <row r="419">
      <c r="A419" s="29" t="n">
        <v>82.8</v>
      </c>
      <c r="B419" s="30" t="n">
        <v>12</v>
      </c>
      <c r="C419" s="30" t="n">
        <v>3</v>
      </c>
      <c r="D419" s="30" t="n">
        <v>0</v>
      </c>
      <c r="E419" s="30">
        <f>B419+C419+D419</f>
        <v/>
      </c>
      <c r="F419" s="31" t="n">
        <v>-0.2117</v>
      </c>
    </row>
    <row r="420">
      <c r="A420" s="29" t="n">
        <v>83</v>
      </c>
      <c r="B420" s="30" t="n">
        <v>10</v>
      </c>
      <c r="C420" s="30" t="n">
        <v>7</v>
      </c>
      <c r="D420" s="30" t="n">
        <v>1</v>
      </c>
      <c r="E420" s="30">
        <f>B420+C420+D420</f>
        <v/>
      </c>
      <c r="F420" s="31" t="n">
        <v>-0.2117</v>
      </c>
    </row>
    <row r="421">
      <c r="A421" s="29" t="n">
        <v>83.2</v>
      </c>
      <c r="B421" s="30" t="n">
        <v>12</v>
      </c>
      <c r="C421" s="30" t="n">
        <v>10</v>
      </c>
      <c r="D421" s="30" t="n">
        <v>0</v>
      </c>
      <c r="E421" s="30">
        <f>B421+C421+D421</f>
        <v/>
      </c>
      <c r="F421" s="31" t="n">
        <v>-0.2117</v>
      </c>
    </row>
    <row r="422">
      <c r="A422" s="29" t="n">
        <v>83.40000000000001</v>
      </c>
      <c r="B422" s="30" t="n">
        <v>10</v>
      </c>
      <c r="C422" s="30" t="n">
        <v>6</v>
      </c>
      <c r="D422" s="30" t="n">
        <v>0</v>
      </c>
      <c r="E422" s="30">
        <f>B422+C422+D422</f>
        <v/>
      </c>
      <c r="F422" s="31" t="n">
        <v>-0.2117</v>
      </c>
    </row>
    <row r="423">
      <c r="A423" s="29" t="n">
        <v>83.59999999999999</v>
      </c>
      <c r="B423" s="30" t="n">
        <v>14</v>
      </c>
      <c r="C423" s="30" t="n">
        <v>7</v>
      </c>
      <c r="D423" s="30" t="n">
        <v>0</v>
      </c>
      <c r="E423" s="30">
        <f>B423+C423+D423</f>
        <v/>
      </c>
      <c r="F423" s="31" t="n">
        <v>-0.2117</v>
      </c>
    </row>
    <row r="424">
      <c r="A424" s="29" t="n">
        <v>83.8</v>
      </c>
      <c r="B424" s="30" t="n">
        <v>10</v>
      </c>
      <c r="C424" s="30" t="n">
        <v>6</v>
      </c>
      <c r="D424" s="30" t="n">
        <v>0</v>
      </c>
      <c r="E424" s="30">
        <f>B424+C424+D424</f>
        <v/>
      </c>
      <c r="F424" s="31" t="n">
        <v>-0.2117</v>
      </c>
    </row>
    <row r="425">
      <c r="A425" s="29" t="n">
        <v>84</v>
      </c>
      <c r="B425" s="30" t="n">
        <v>14</v>
      </c>
      <c r="C425" s="30" t="n">
        <v>6</v>
      </c>
      <c r="D425" s="30" t="n">
        <v>0</v>
      </c>
      <c r="E425" s="30">
        <f>B425+C425+D425</f>
        <v/>
      </c>
      <c r="F425" s="31" t="n">
        <v>-0.2117</v>
      </c>
    </row>
    <row r="426">
      <c r="A426" s="29" t="n">
        <v>84.2</v>
      </c>
      <c r="B426" s="30" t="n">
        <v>11</v>
      </c>
      <c r="C426" s="30" t="n">
        <v>7</v>
      </c>
      <c r="D426" s="30" t="n">
        <v>0</v>
      </c>
      <c r="E426" s="30">
        <f>B426+C426+D426</f>
        <v/>
      </c>
      <c r="F426" s="31" t="n">
        <v>-0.2117</v>
      </c>
    </row>
    <row r="427">
      <c r="A427" s="29" t="n">
        <v>84.40000000000001</v>
      </c>
      <c r="B427" s="30" t="n">
        <v>12</v>
      </c>
      <c r="C427" s="30" t="n">
        <v>5</v>
      </c>
      <c r="D427" s="30" t="n">
        <v>0</v>
      </c>
      <c r="E427" s="30">
        <f>B427+C427+D427</f>
        <v/>
      </c>
      <c r="F427" s="31" t="n">
        <v>-0.2117</v>
      </c>
    </row>
    <row r="428">
      <c r="A428" s="29" t="n">
        <v>84.59999999999999</v>
      </c>
      <c r="B428" s="30" t="n">
        <v>11</v>
      </c>
      <c r="C428" s="30" t="n">
        <v>6</v>
      </c>
      <c r="D428" s="30" t="n">
        <v>0</v>
      </c>
      <c r="E428" s="30">
        <f>B428+C428+D428</f>
        <v/>
      </c>
      <c r="F428" s="31" t="n">
        <v>-0.2117</v>
      </c>
    </row>
    <row r="429">
      <c r="A429" s="29" t="n">
        <v>84.8</v>
      </c>
      <c r="B429" s="30" t="n">
        <v>10</v>
      </c>
      <c r="C429" s="30" t="n">
        <v>6</v>
      </c>
      <c r="D429" s="30" t="n">
        <v>0</v>
      </c>
      <c r="E429" s="30">
        <f>B429+C429+D429</f>
        <v/>
      </c>
      <c r="F429" s="31" t="n">
        <v>-0.2117</v>
      </c>
    </row>
    <row r="430">
      <c r="A430" s="29" t="n">
        <v>85</v>
      </c>
      <c r="B430" s="30" t="n">
        <v>15</v>
      </c>
      <c r="C430" s="30" t="n">
        <v>9</v>
      </c>
      <c r="D430" s="30" t="n">
        <v>0</v>
      </c>
      <c r="E430" s="30">
        <f>B430+C430+D430</f>
        <v/>
      </c>
      <c r="F430" s="31" t="n">
        <v>-0.2117</v>
      </c>
    </row>
    <row r="431">
      <c r="A431" s="29" t="n">
        <v>85.2</v>
      </c>
      <c r="B431" s="30" t="n">
        <v>10</v>
      </c>
      <c r="C431" s="30" t="n">
        <v>2</v>
      </c>
      <c r="D431" s="30" t="n">
        <v>0</v>
      </c>
      <c r="E431" s="30">
        <f>B431+C431+D431</f>
        <v/>
      </c>
      <c r="F431" s="31" t="n">
        <v>-0.2117</v>
      </c>
    </row>
    <row r="432">
      <c r="A432" s="29" t="n">
        <v>85.40000000000001</v>
      </c>
      <c r="B432" s="30" t="n">
        <v>12</v>
      </c>
      <c r="C432" s="30" t="n">
        <v>8</v>
      </c>
      <c r="D432" s="30" t="n">
        <v>0</v>
      </c>
      <c r="E432" s="30">
        <f>B432+C432+D432</f>
        <v/>
      </c>
      <c r="F432" s="31" t="n">
        <v>-0.2117</v>
      </c>
    </row>
    <row r="433">
      <c r="A433" s="29" t="n">
        <v>85.59999999999999</v>
      </c>
      <c r="B433" s="30" t="n">
        <v>12</v>
      </c>
      <c r="C433" s="30" t="n">
        <v>8</v>
      </c>
      <c r="D433" s="30" t="n">
        <v>0</v>
      </c>
      <c r="E433" s="30">
        <f>B433+C433+D433</f>
        <v/>
      </c>
      <c r="F433" s="31" t="n">
        <v>-0.2117</v>
      </c>
    </row>
    <row r="434">
      <c r="A434" s="29" t="n">
        <v>85.8</v>
      </c>
      <c r="B434" s="30" t="n">
        <v>9</v>
      </c>
      <c r="C434" s="30" t="n">
        <v>5</v>
      </c>
      <c r="D434" s="30" t="n">
        <v>0</v>
      </c>
      <c r="E434" s="30">
        <f>B434+C434+D434</f>
        <v/>
      </c>
      <c r="F434" s="31" t="n">
        <v>-0.2117</v>
      </c>
    </row>
    <row r="435">
      <c r="A435" s="29" t="n">
        <v>86</v>
      </c>
      <c r="B435" s="30" t="n">
        <v>14</v>
      </c>
      <c r="C435" s="30" t="n">
        <v>6</v>
      </c>
      <c r="D435" s="30" t="n">
        <v>0</v>
      </c>
      <c r="E435" s="30">
        <f>B435+C435+D435</f>
        <v/>
      </c>
      <c r="F435" s="31" t="n">
        <v>-0.2117</v>
      </c>
    </row>
    <row r="436">
      <c r="A436" s="29" t="n">
        <v>86.2</v>
      </c>
      <c r="B436" s="30" t="n">
        <v>10</v>
      </c>
      <c r="C436" s="30" t="n">
        <v>7</v>
      </c>
      <c r="D436" s="30" t="n">
        <v>0</v>
      </c>
      <c r="E436" s="30">
        <f>B436+C436+D436</f>
        <v/>
      </c>
      <c r="F436" s="31" t="n">
        <v>-0.2117</v>
      </c>
    </row>
    <row r="437">
      <c r="A437" s="29" t="n">
        <v>86.40000000000001</v>
      </c>
      <c r="B437" s="30" t="n">
        <v>13</v>
      </c>
      <c r="C437" s="30" t="n">
        <v>12</v>
      </c>
      <c r="D437" s="30" t="n">
        <v>0</v>
      </c>
      <c r="E437" s="30">
        <f>B437+C437+D437</f>
        <v/>
      </c>
      <c r="F437" s="31" t="n">
        <v>-0.2117</v>
      </c>
    </row>
    <row r="438">
      <c r="A438" s="29" t="n">
        <v>86.59999999999999</v>
      </c>
      <c r="B438" s="30" t="n">
        <v>14</v>
      </c>
      <c r="C438" s="30" t="n">
        <v>7</v>
      </c>
      <c r="D438" s="30" t="n">
        <v>0</v>
      </c>
      <c r="E438" s="30">
        <f>B438+C438+D438</f>
        <v/>
      </c>
      <c r="F438" s="31" t="n">
        <v>-0.2117</v>
      </c>
    </row>
    <row r="439">
      <c r="A439" s="29" t="n">
        <v>86.8</v>
      </c>
      <c r="B439" s="30" t="n">
        <v>12</v>
      </c>
      <c r="C439" s="30" t="n">
        <v>7</v>
      </c>
      <c r="D439" s="30" t="n">
        <v>0</v>
      </c>
      <c r="E439" s="30">
        <f>B439+C439+D439</f>
        <v/>
      </c>
      <c r="F439" s="31" t="n">
        <v>-0.2117</v>
      </c>
    </row>
    <row r="440">
      <c r="A440" s="29" t="n">
        <v>87</v>
      </c>
      <c r="B440" s="30" t="n">
        <v>13</v>
      </c>
      <c r="C440" s="30" t="n">
        <v>5</v>
      </c>
      <c r="D440" s="30" t="n">
        <v>0</v>
      </c>
      <c r="E440" s="30">
        <f>B440+C440+D440</f>
        <v/>
      </c>
      <c r="F440" s="31" t="n">
        <v>-0.2117</v>
      </c>
    </row>
    <row r="441">
      <c r="A441" s="29" t="n">
        <v>87.2</v>
      </c>
      <c r="B441" s="30" t="n">
        <v>30</v>
      </c>
      <c r="C441" s="30" t="n">
        <v>0</v>
      </c>
      <c r="D441" s="30" t="n">
        <v>0</v>
      </c>
      <c r="E441" s="30">
        <f>B441+C441+D441</f>
        <v/>
      </c>
      <c r="F441" s="31" t="n">
        <v>-0.2117</v>
      </c>
    </row>
    <row r="442">
      <c r="A442" s="29" t="n">
        <v>87.40000000000001</v>
      </c>
      <c r="B442" s="30" t="n">
        <v>9</v>
      </c>
      <c r="C442" s="30" t="n">
        <v>1</v>
      </c>
      <c r="D442" s="30" t="n">
        <v>0</v>
      </c>
      <c r="E442" s="30">
        <f>B442+C442+D442</f>
        <v/>
      </c>
      <c r="F442" s="31" t="n">
        <v>-0.2117</v>
      </c>
    </row>
    <row r="443">
      <c r="A443" s="29" t="n">
        <v>87.59999999999999</v>
      </c>
      <c r="B443" s="30" t="n">
        <v>14</v>
      </c>
      <c r="C443" s="30" t="n">
        <v>0</v>
      </c>
      <c r="D443" s="30" t="n">
        <v>0</v>
      </c>
      <c r="E443" s="30">
        <f>B443+C443+D443</f>
        <v/>
      </c>
      <c r="F443" s="31" t="n">
        <v>-0.2117</v>
      </c>
    </row>
    <row r="444">
      <c r="A444" s="29" t="n">
        <v>87.8</v>
      </c>
      <c r="B444" s="30" t="n">
        <v>14</v>
      </c>
      <c r="C444" s="30" t="n">
        <v>7</v>
      </c>
      <c r="D444" s="30" t="n">
        <v>0</v>
      </c>
      <c r="E444" s="30">
        <f>B444+C444+D444</f>
        <v/>
      </c>
      <c r="F444" s="31" t="n">
        <v>-0.2117</v>
      </c>
    </row>
    <row r="445">
      <c r="A445" s="29" t="n">
        <v>88</v>
      </c>
      <c r="B445" s="30" t="n">
        <v>11</v>
      </c>
      <c r="C445" s="30" t="n">
        <v>5</v>
      </c>
      <c r="D445" s="30" t="n">
        <v>0</v>
      </c>
      <c r="E445" s="30">
        <f>B445+C445+D445</f>
        <v/>
      </c>
      <c r="F445" s="31" t="n">
        <v>-0.2117</v>
      </c>
    </row>
    <row r="446">
      <c r="A446" s="29" t="n">
        <v>88.2</v>
      </c>
      <c r="B446" s="30" t="n">
        <v>0</v>
      </c>
      <c r="C446" s="30" t="n">
        <v>5</v>
      </c>
      <c r="D446" s="30" t="n">
        <v>0</v>
      </c>
      <c r="E446" s="30">
        <f>B446+C446+D446</f>
        <v/>
      </c>
      <c r="F446" s="31" t="n">
        <v>-0.2117</v>
      </c>
    </row>
    <row r="447">
      <c r="A447" s="29" t="n">
        <v>88.40000000000001</v>
      </c>
      <c r="B447" s="30" t="n">
        <v>15</v>
      </c>
      <c r="C447" s="30" t="n">
        <v>1</v>
      </c>
      <c r="D447" s="30" t="n">
        <v>0</v>
      </c>
      <c r="E447" s="30">
        <f>B447+C447+D447</f>
        <v/>
      </c>
      <c r="F447" s="31" t="n">
        <v>-0.2117</v>
      </c>
    </row>
    <row r="448">
      <c r="A448" s="29" t="n">
        <v>88.59999999999999</v>
      </c>
      <c r="B448" s="30" t="n">
        <v>9</v>
      </c>
      <c r="C448" s="30" t="n">
        <v>0</v>
      </c>
      <c r="D448" s="30" t="n">
        <v>8</v>
      </c>
      <c r="E448" s="30">
        <f>B448+C448+D448</f>
        <v/>
      </c>
      <c r="F448" s="31" t="n">
        <v>-0.2117</v>
      </c>
    </row>
    <row r="449">
      <c r="A449" s="29" t="n">
        <v>88.8</v>
      </c>
      <c r="B449" s="30" t="n">
        <v>-2</v>
      </c>
      <c r="C449" s="30" t="n">
        <v>4</v>
      </c>
      <c r="D449" s="30" t="n">
        <v>0</v>
      </c>
      <c r="E449" s="30">
        <f>B449+C449+D449</f>
        <v/>
      </c>
      <c r="F449" s="31" t="n">
        <v>-0.2117</v>
      </c>
    </row>
    <row r="450">
      <c r="A450" s="29" t="n">
        <v>89</v>
      </c>
      <c r="B450" s="30" t="n">
        <v>13</v>
      </c>
      <c r="C450" s="30" t="n">
        <v>0</v>
      </c>
      <c r="D450" s="30" t="n">
        <v>0</v>
      </c>
      <c r="E450" s="30">
        <f>B450+C450+D450</f>
        <v/>
      </c>
      <c r="F450" s="31" t="n">
        <v>-0.2117</v>
      </c>
    </row>
    <row r="451">
      <c r="A451" s="29" t="n">
        <v>89.2</v>
      </c>
      <c r="B451" s="30" t="n">
        <v>11</v>
      </c>
      <c r="C451" s="30" t="n">
        <v>0</v>
      </c>
      <c r="D451" s="30" t="n">
        <v>0</v>
      </c>
      <c r="E451" s="30">
        <f>B451+C451+D451</f>
        <v/>
      </c>
      <c r="F451" s="31" t="n">
        <v>-0.2117</v>
      </c>
    </row>
    <row r="452">
      <c r="A452" s="29" t="n">
        <v>89.40000000000001</v>
      </c>
      <c r="B452" s="30" t="n">
        <v>12</v>
      </c>
      <c r="C452" s="30" t="n">
        <v>3</v>
      </c>
      <c r="D452" s="30" t="n">
        <v>0</v>
      </c>
      <c r="E452" s="30">
        <f>B452+C452+D452</f>
        <v/>
      </c>
      <c r="F452" s="31" t="n">
        <v>-0.2117</v>
      </c>
    </row>
    <row r="453">
      <c r="A453" s="29" t="n">
        <v>89.59999999999999</v>
      </c>
      <c r="B453" s="30" t="n">
        <v>10</v>
      </c>
      <c r="C453" s="30" t="n">
        <v>0</v>
      </c>
      <c r="D453" s="30" t="n">
        <v>7</v>
      </c>
      <c r="E453" s="30">
        <f>B453+C453+D453</f>
        <v/>
      </c>
      <c r="F453" s="31" t="n">
        <v>-0.2117</v>
      </c>
    </row>
    <row r="454">
      <c r="A454" s="29" t="n">
        <v>89.8</v>
      </c>
      <c r="B454" s="30" t="n">
        <v>12</v>
      </c>
      <c r="C454" s="30" t="n">
        <v>0</v>
      </c>
      <c r="D454" s="30" t="n">
        <v>0</v>
      </c>
      <c r="E454" s="30">
        <f>B454+C454+D454</f>
        <v/>
      </c>
      <c r="F454" s="31" t="n">
        <v>-0.2117</v>
      </c>
    </row>
    <row r="455">
      <c r="A455" s="29" t="n">
        <v>90</v>
      </c>
      <c r="B455" s="30" t="n">
        <v>12</v>
      </c>
      <c r="C455" s="30" t="n">
        <v>0</v>
      </c>
      <c r="D455" s="30" t="n">
        <v>0</v>
      </c>
      <c r="E455" s="30">
        <f>B455+C455+D455</f>
        <v/>
      </c>
      <c r="F455" s="31" t="n">
        <v>-0.2117</v>
      </c>
    </row>
    <row r="456">
      <c r="A456" s="29" t="n">
        <v>90.2</v>
      </c>
      <c r="B456" s="30" t="n">
        <v>16</v>
      </c>
      <c r="C456" s="30" t="n">
        <v>0</v>
      </c>
      <c r="D456" s="30" t="n">
        <v>0</v>
      </c>
      <c r="E456" s="30">
        <f>B456+C456+D456</f>
        <v/>
      </c>
      <c r="F456" s="31" t="n">
        <v>-0.2117</v>
      </c>
    </row>
    <row r="457">
      <c r="A457" s="29" t="n">
        <v>90.40000000000001</v>
      </c>
      <c r="B457" s="30" t="n">
        <v>9</v>
      </c>
      <c r="C457" s="30" t="n">
        <v>8</v>
      </c>
      <c r="D457" s="30" t="n">
        <v>0</v>
      </c>
      <c r="E457" s="30">
        <f>B457+C457+D457</f>
        <v/>
      </c>
      <c r="F457" s="31" t="n">
        <v>-0.2117</v>
      </c>
    </row>
    <row r="458">
      <c r="A458" s="29" t="n">
        <v>90.59999999999999</v>
      </c>
      <c r="B458" s="30" t="n">
        <v>12</v>
      </c>
      <c r="C458" s="30" t="n">
        <v>5</v>
      </c>
      <c r="D458" s="30" t="n">
        <v>0</v>
      </c>
      <c r="E458" s="30">
        <f>B458+C458+D458</f>
        <v/>
      </c>
      <c r="F458" s="31" t="n">
        <v>-0.2117</v>
      </c>
    </row>
    <row r="459">
      <c r="A459" s="29" t="n">
        <v>90.8</v>
      </c>
      <c r="B459" s="30" t="n">
        <v>6</v>
      </c>
      <c r="C459" s="30" t="n">
        <v>9</v>
      </c>
      <c r="D459" s="30" t="n">
        <v>0</v>
      </c>
      <c r="E459" s="30">
        <f>B459+C459+D459</f>
        <v/>
      </c>
      <c r="F459" s="31" t="n">
        <v>-0.2117</v>
      </c>
    </row>
    <row r="460">
      <c r="A460" s="29" t="n">
        <v>91</v>
      </c>
      <c r="B460" s="30" t="n">
        <v>12</v>
      </c>
      <c r="C460" s="30" t="n">
        <v>3</v>
      </c>
      <c r="D460" s="30" t="n">
        <v>0</v>
      </c>
      <c r="E460" s="30">
        <f>B460+C460+D460</f>
        <v/>
      </c>
      <c r="F460" s="31" t="n">
        <v>-0.2117</v>
      </c>
    </row>
    <row r="461">
      <c r="A461" s="29" t="n">
        <v>91.2</v>
      </c>
      <c r="B461" s="30" t="n">
        <v>12</v>
      </c>
      <c r="C461" s="30" t="n">
        <v>6</v>
      </c>
      <c r="D461" s="30" t="n">
        <v>0</v>
      </c>
      <c r="E461" s="30">
        <f>B461+C461+D461</f>
        <v/>
      </c>
      <c r="F461" s="31" t="n">
        <v>-0.2117</v>
      </c>
    </row>
    <row r="462">
      <c r="A462" s="29" t="n">
        <v>91.40000000000001</v>
      </c>
      <c r="B462" s="30" t="n">
        <v>11</v>
      </c>
      <c r="C462" s="30" t="n">
        <v>8</v>
      </c>
      <c r="D462" s="30" t="n">
        <v>0</v>
      </c>
      <c r="E462" s="30">
        <f>B462+C462+D462</f>
        <v/>
      </c>
      <c r="F462" s="31" t="n">
        <v>-0.2117</v>
      </c>
    </row>
    <row r="463">
      <c r="A463" s="29" t="n">
        <v>91.59999999999999</v>
      </c>
      <c r="B463" s="30" t="n">
        <v>11</v>
      </c>
      <c r="C463" s="30" t="n">
        <v>7</v>
      </c>
      <c r="D463" s="30" t="n">
        <v>0</v>
      </c>
      <c r="E463" s="30">
        <f>B463+C463+D463</f>
        <v/>
      </c>
      <c r="F463" s="31" t="n">
        <v>-0.2117</v>
      </c>
    </row>
    <row r="464">
      <c r="A464" s="29" t="n">
        <v>91.8</v>
      </c>
      <c r="B464" s="30" t="n">
        <v>12</v>
      </c>
      <c r="C464" s="30" t="n">
        <v>7</v>
      </c>
      <c r="D464" s="30" t="n">
        <v>0</v>
      </c>
      <c r="E464" s="30">
        <f>B464+C464+D464</f>
        <v/>
      </c>
      <c r="F464" s="31" t="n">
        <v>-0.2117</v>
      </c>
    </row>
    <row r="465">
      <c r="A465" s="29" t="n">
        <v>92</v>
      </c>
      <c r="B465" s="30" t="n">
        <v>7</v>
      </c>
      <c r="C465" s="30" t="n">
        <v>7</v>
      </c>
      <c r="D465" s="30" t="n">
        <v>0</v>
      </c>
      <c r="E465" s="30">
        <f>B465+C465+D465</f>
        <v/>
      </c>
      <c r="F465" s="31" t="n">
        <v>-0.2117</v>
      </c>
    </row>
    <row r="466">
      <c r="A466" s="29" t="n">
        <v>92.2</v>
      </c>
      <c r="B466" s="30" t="n">
        <v>12</v>
      </c>
      <c r="C466" s="30" t="n">
        <v>5</v>
      </c>
      <c r="D466" s="30" t="n">
        <v>0</v>
      </c>
      <c r="E466" s="30">
        <f>B466+C466+D466</f>
        <v/>
      </c>
      <c r="F466" s="31" t="n">
        <v>-0.2117</v>
      </c>
    </row>
    <row r="467">
      <c r="A467" s="29" t="n">
        <v>92.40000000000001</v>
      </c>
      <c r="B467" s="30" t="n">
        <v>12</v>
      </c>
      <c r="C467" s="30" t="n">
        <v>0</v>
      </c>
      <c r="D467" s="30" t="n">
        <v>0</v>
      </c>
      <c r="E467" s="30">
        <f>B467+C467+D467</f>
        <v/>
      </c>
      <c r="F467" s="31" t="n">
        <v>-0.2117</v>
      </c>
    </row>
    <row r="468">
      <c r="A468" s="29" t="n">
        <v>92.59999999999999</v>
      </c>
      <c r="B468" s="30" t="n">
        <v>12</v>
      </c>
      <c r="C468" s="30" t="n">
        <v>7</v>
      </c>
      <c r="D468" s="30" t="n">
        <v>0</v>
      </c>
      <c r="E468" s="30">
        <f>B468+C468+D468</f>
        <v/>
      </c>
      <c r="F468" s="31" t="n">
        <v>-0.2117</v>
      </c>
    </row>
    <row r="469">
      <c r="A469" s="29" t="n">
        <v>92.8</v>
      </c>
      <c r="B469" s="30" t="n">
        <v>11</v>
      </c>
      <c r="C469" s="30" t="n">
        <v>5</v>
      </c>
      <c r="D469" s="30" t="n">
        <v>0</v>
      </c>
      <c r="E469" s="30">
        <f>B469+C469+D469</f>
        <v/>
      </c>
      <c r="F469" s="31" t="n">
        <v>-0.2101</v>
      </c>
    </row>
    <row r="470">
      <c r="A470" s="29" t="n">
        <v>93</v>
      </c>
      <c r="B470" s="30" t="n">
        <v>12</v>
      </c>
      <c r="C470" s="30" t="n">
        <v>0</v>
      </c>
      <c r="D470" s="30" t="n">
        <v>0</v>
      </c>
      <c r="E470" s="30">
        <f>B470+C470+D470</f>
        <v/>
      </c>
      <c r="F470" s="31" t="n">
        <v>-0.2117</v>
      </c>
    </row>
    <row r="471">
      <c r="A471" s="29" t="n">
        <v>93.2</v>
      </c>
      <c r="B471" s="30" t="n">
        <v>12</v>
      </c>
      <c r="C471" s="30" t="n">
        <v>4</v>
      </c>
      <c r="D471" s="30" t="n">
        <v>48</v>
      </c>
      <c r="E471" s="30">
        <f>B471+C471+D471</f>
        <v/>
      </c>
      <c r="F471" s="31" t="n">
        <v>-0.2117</v>
      </c>
    </row>
    <row r="472">
      <c r="A472" s="29" t="n">
        <v>93.40000000000001</v>
      </c>
      <c r="B472" s="30" t="n">
        <v>7</v>
      </c>
      <c r="C472" s="30" t="n">
        <v>1</v>
      </c>
      <c r="D472" s="30" t="n">
        <v>0</v>
      </c>
      <c r="E472" s="30">
        <f>B472+C472+D472</f>
        <v/>
      </c>
      <c r="F472" s="31" t="n">
        <v>-0.2101</v>
      </c>
    </row>
    <row r="473">
      <c r="A473" s="29" t="n">
        <v>93.59999999999999</v>
      </c>
      <c r="B473" s="30" t="n">
        <v>12</v>
      </c>
      <c r="C473" s="30" t="n">
        <v>4</v>
      </c>
      <c r="D473" s="30" t="n">
        <v>0</v>
      </c>
      <c r="E473" s="30">
        <f>B473+C473+D473</f>
        <v/>
      </c>
      <c r="F473" s="31" t="n">
        <v>-0.2117</v>
      </c>
    </row>
    <row r="474">
      <c r="A474" s="29" t="n">
        <v>93.8</v>
      </c>
      <c r="B474" s="30" t="n">
        <v>14</v>
      </c>
      <c r="C474" s="30" t="n">
        <v>8</v>
      </c>
      <c r="D474" s="30" t="n">
        <v>0</v>
      </c>
      <c r="E474" s="30">
        <f>B474+C474+D474</f>
        <v/>
      </c>
      <c r="F474" s="31" t="n">
        <v>-0.2117</v>
      </c>
    </row>
    <row r="475">
      <c r="A475" s="29" t="n">
        <v>94</v>
      </c>
      <c r="B475" s="30" t="n">
        <v>14</v>
      </c>
      <c r="C475" s="30" t="n">
        <v>12</v>
      </c>
      <c r="D475" s="30" t="n">
        <v>0</v>
      </c>
      <c r="E475" s="30">
        <f>B475+C475+D475</f>
        <v/>
      </c>
      <c r="F475" s="31" t="n">
        <v>-0.2117</v>
      </c>
    </row>
    <row r="476">
      <c r="A476" s="29" t="n">
        <v>94.2</v>
      </c>
      <c r="B476" s="30" t="n">
        <v>18</v>
      </c>
      <c r="C476" s="30" t="n">
        <v>6</v>
      </c>
      <c r="D476" s="30" t="n">
        <v>0</v>
      </c>
      <c r="E476" s="30">
        <f>B476+C476+D476</f>
        <v/>
      </c>
      <c r="F476" s="31" t="n">
        <v>-0.2117</v>
      </c>
    </row>
    <row r="477">
      <c r="A477" s="29" t="n">
        <v>94.40000000000001</v>
      </c>
      <c r="B477" s="30" t="n">
        <v>15</v>
      </c>
      <c r="C477" s="30" t="n">
        <v>6</v>
      </c>
      <c r="D477" s="30" t="n">
        <v>0</v>
      </c>
      <c r="E477" s="30">
        <f>B477+C477+D477</f>
        <v/>
      </c>
      <c r="F477" s="31" t="n">
        <v>-0.2117</v>
      </c>
    </row>
    <row r="478">
      <c r="A478" s="29" t="n">
        <v>94.59999999999999</v>
      </c>
      <c r="B478" s="30" t="n">
        <v>13</v>
      </c>
      <c r="C478" s="30" t="n">
        <v>6</v>
      </c>
      <c r="D478" s="30" t="n">
        <v>0</v>
      </c>
      <c r="E478" s="30">
        <f>B478+C478+D478</f>
        <v/>
      </c>
      <c r="F478" s="31" t="n">
        <v>-0.2117</v>
      </c>
    </row>
    <row r="479">
      <c r="A479" s="29" t="n">
        <v>94.8</v>
      </c>
      <c r="B479" s="30" t="n">
        <v>13</v>
      </c>
      <c r="C479" s="30" t="n">
        <v>7</v>
      </c>
      <c r="D479" s="30" t="n">
        <v>0</v>
      </c>
      <c r="E479" s="30">
        <f>B479+C479+D479</f>
        <v/>
      </c>
      <c r="F479" s="31" t="n">
        <v>-0.2117</v>
      </c>
    </row>
    <row r="480">
      <c r="A480" s="29" t="n">
        <v>95</v>
      </c>
      <c r="B480" s="30" t="n">
        <v>14</v>
      </c>
      <c r="C480" s="30" t="n">
        <v>7</v>
      </c>
      <c r="D480" s="30" t="n">
        <v>1</v>
      </c>
      <c r="E480" s="30">
        <f>B480+C480+D480</f>
        <v/>
      </c>
      <c r="F480" s="31" t="n">
        <v>-0.2117</v>
      </c>
    </row>
    <row r="481">
      <c r="A481" s="29" t="n">
        <v>95.2</v>
      </c>
      <c r="B481" s="30" t="n">
        <v>11</v>
      </c>
      <c r="C481" s="30" t="n">
        <v>9</v>
      </c>
      <c r="D481" s="30" t="n">
        <v>0</v>
      </c>
      <c r="E481" s="30">
        <f>B481+C481+D481</f>
        <v/>
      </c>
      <c r="F481" s="31" t="n">
        <v>-0.2117</v>
      </c>
    </row>
    <row r="482">
      <c r="A482" s="29" t="n">
        <v>95.40000000000001</v>
      </c>
      <c r="B482" s="30" t="n">
        <v>13</v>
      </c>
      <c r="C482" s="30" t="n">
        <v>4</v>
      </c>
      <c r="D482" s="30" t="n">
        <v>0</v>
      </c>
      <c r="E482" s="30">
        <f>B482+C482+D482</f>
        <v/>
      </c>
      <c r="F482" s="31" t="n">
        <v>-0.2117</v>
      </c>
    </row>
    <row r="483">
      <c r="A483" s="29" t="n">
        <v>95.59999999999999</v>
      </c>
      <c r="B483" s="30" t="n">
        <v>12</v>
      </c>
      <c r="C483" s="30" t="n">
        <v>10</v>
      </c>
      <c r="D483" s="30" t="n">
        <v>6</v>
      </c>
      <c r="E483" s="30">
        <f>B483+C483+D483</f>
        <v/>
      </c>
      <c r="F483" s="31" t="n">
        <v>-0.2117</v>
      </c>
    </row>
    <row r="484">
      <c r="A484" s="29" t="n">
        <v>95.8</v>
      </c>
      <c r="B484" s="30" t="n">
        <v>13</v>
      </c>
      <c r="C484" s="30" t="n">
        <v>5</v>
      </c>
      <c r="D484" s="30" t="n">
        <v>0</v>
      </c>
      <c r="E484" s="30">
        <f>B484+C484+D484</f>
        <v/>
      </c>
      <c r="F484" s="31" t="n">
        <v>-0.2117</v>
      </c>
    </row>
    <row r="485">
      <c r="A485" s="29" t="n">
        <v>96</v>
      </c>
      <c r="B485" s="30" t="n">
        <v>12</v>
      </c>
      <c r="C485" s="30" t="n">
        <v>4</v>
      </c>
      <c r="D485" s="30" t="n">
        <v>0</v>
      </c>
      <c r="E485" s="30">
        <f>B485+C485+D485</f>
        <v/>
      </c>
      <c r="F485" s="31" t="n">
        <v>-0.2117</v>
      </c>
    </row>
    <row r="486">
      <c r="A486" s="29" t="n">
        <v>96.2</v>
      </c>
      <c r="B486" s="30" t="n">
        <v>11</v>
      </c>
      <c r="C486" s="30" t="n">
        <v>9</v>
      </c>
      <c r="D486" s="30" t="n">
        <v>0</v>
      </c>
      <c r="E486" s="30">
        <f>B486+C486+D486</f>
        <v/>
      </c>
      <c r="F486" s="31" t="n">
        <v>-0.2117</v>
      </c>
    </row>
    <row r="487">
      <c r="A487" s="29" t="n">
        <v>96.40000000000001</v>
      </c>
      <c r="B487" s="30" t="n">
        <v>9</v>
      </c>
      <c r="C487" s="30" t="n">
        <v>5</v>
      </c>
      <c r="D487" s="30" t="n">
        <v>0</v>
      </c>
      <c r="E487" s="30">
        <f>B487+C487+D487</f>
        <v/>
      </c>
      <c r="F487" s="31" t="n">
        <v>-0.2117</v>
      </c>
    </row>
    <row r="488">
      <c r="A488" s="29" t="n">
        <v>96.59999999999999</v>
      </c>
      <c r="B488" s="30" t="n">
        <v>12</v>
      </c>
      <c r="C488" s="30" t="n">
        <v>0</v>
      </c>
      <c r="D488" s="30" t="n">
        <v>0</v>
      </c>
      <c r="E488" s="30">
        <f>B488+C488+D488</f>
        <v/>
      </c>
      <c r="F488" s="31" t="n">
        <v>-0.2117</v>
      </c>
    </row>
    <row r="489">
      <c r="A489" s="29" t="n">
        <v>96.8</v>
      </c>
      <c r="B489" s="30" t="n">
        <v>-2</v>
      </c>
      <c r="C489" s="30" t="n">
        <v>7</v>
      </c>
      <c r="D489" s="30" t="n">
        <v>0</v>
      </c>
      <c r="E489" s="30">
        <f>B489+C489+D489</f>
        <v/>
      </c>
      <c r="F489" s="31" t="n">
        <v>-0.2117</v>
      </c>
    </row>
    <row r="490">
      <c r="A490" s="29" t="n">
        <v>97</v>
      </c>
      <c r="B490" s="30" t="n">
        <v>13</v>
      </c>
      <c r="C490" s="30" t="n">
        <v>6</v>
      </c>
      <c r="D490" s="30" t="n">
        <v>0</v>
      </c>
      <c r="E490" s="30">
        <f>B490+C490+D490</f>
        <v/>
      </c>
      <c r="F490" s="31" t="n">
        <v>-0.2117</v>
      </c>
    </row>
    <row r="491">
      <c r="A491" s="29" t="n">
        <v>97.2</v>
      </c>
      <c r="B491" s="30" t="n">
        <v>12</v>
      </c>
      <c r="C491" s="30" t="n">
        <v>10</v>
      </c>
      <c r="D491" s="30" t="n">
        <v>0</v>
      </c>
      <c r="E491" s="30">
        <f>B491+C491+D491</f>
        <v/>
      </c>
      <c r="F491" s="31" t="n">
        <v>-0.2117</v>
      </c>
    </row>
    <row r="492">
      <c r="A492" s="29" t="n">
        <v>97.40000000000001</v>
      </c>
      <c r="B492" s="30" t="n">
        <v>12</v>
      </c>
      <c r="C492" s="30" t="n">
        <v>7</v>
      </c>
      <c r="D492" s="30" t="n">
        <v>0</v>
      </c>
      <c r="E492" s="30">
        <f>B492+C492+D492</f>
        <v/>
      </c>
      <c r="F492" s="31" t="n">
        <v>-0.2117</v>
      </c>
    </row>
    <row r="493">
      <c r="A493" s="29" t="n">
        <v>97.59999999999999</v>
      </c>
      <c r="B493" s="30" t="n">
        <v>14</v>
      </c>
      <c r="C493" s="30" t="n">
        <v>0</v>
      </c>
      <c r="D493" s="30" t="n">
        <v>0</v>
      </c>
      <c r="E493" s="30">
        <f>B493+C493+D493</f>
        <v/>
      </c>
      <c r="F493" s="31" t="n">
        <v>-0.2117</v>
      </c>
    </row>
    <row r="494">
      <c r="A494" s="29" t="n">
        <v>97.8</v>
      </c>
      <c r="B494" s="30" t="n">
        <v>3</v>
      </c>
      <c r="C494" s="30" t="n">
        <v>2</v>
      </c>
      <c r="D494" s="30" t="n">
        <v>0</v>
      </c>
      <c r="E494" s="30">
        <f>B494+C494+D494</f>
        <v/>
      </c>
      <c r="F494" s="31" t="n">
        <v>-0.2117</v>
      </c>
    </row>
    <row r="495">
      <c r="A495" s="29" t="n">
        <v>98</v>
      </c>
      <c r="B495" s="30" t="n">
        <v>16</v>
      </c>
      <c r="C495" s="30" t="n">
        <v>2</v>
      </c>
      <c r="D495" s="30" t="n">
        <v>0</v>
      </c>
      <c r="E495" s="30">
        <f>B495+C495+D495</f>
        <v/>
      </c>
      <c r="F495" s="31" t="n">
        <v>-0.2117</v>
      </c>
    </row>
    <row r="496">
      <c r="A496" s="29" t="n">
        <v>98.2</v>
      </c>
      <c r="B496" s="30" t="n">
        <v>10</v>
      </c>
      <c r="C496" s="30" t="n">
        <v>0</v>
      </c>
      <c r="D496" s="30" t="n">
        <v>0</v>
      </c>
      <c r="E496" s="30">
        <f>B496+C496+D496</f>
        <v/>
      </c>
      <c r="F496" s="31" t="n">
        <v>-0.2117</v>
      </c>
    </row>
    <row r="497">
      <c r="A497" s="29" t="n">
        <v>98.40000000000001</v>
      </c>
      <c r="B497" s="30" t="n">
        <v>8</v>
      </c>
      <c r="C497" s="30" t="n">
        <v>4</v>
      </c>
      <c r="D497" s="30" t="n">
        <v>0</v>
      </c>
      <c r="E497" s="30">
        <f>B497+C497+D497</f>
        <v/>
      </c>
      <c r="F497" s="31" t="n">
        <v>-0.2117</v>
      </c>
    </row>
    <row r="498">
      <c r="A498" s="29" t="n">
        <v>98.59999999999999</v>
      </c>
      <c r="B498" s="30" t="n">
        <v>12</v>
      </c>
      <c r="C498" s="30" t="n">
        <v>10</v>
      </c>
      <c r="D498" s="30" t="n">
        <v>0</v>
      </c>
      <c r="E498" s="30">
        <f>B498+C498+D498</f>
        <v/>
      </c>
      <c r="F498" s="31" t="n">
        <v>-0.2117</v>
      </c>
    </row>
    <row r="499">
      <c r="A499" s="29" t="n">
        <v>98.8</v>
      </c>
      <c r="B499" s="30" t="n">
        <v>10</v>
      </c>
      <c r="C499" s="30" t="n">
        <v>8</v>
      </c>
      <c r="D499" s="30" t="n">
        <v>0</v>
      </c>
      <c r="E499" s="30">
        <f>B499+C499+D499</f>
        <v/>
      </c>
      <c r="F499" s="31" t="n">
        <v>-0.2117</v>
      </c>
    </row>
    <row r="500">
      <c r="A500" s="29" t="n">
        <v>99</v>
      </c>
      <c r="B500" s="30" t="n">
        <v>10</v>
      </c>
      <c r="C500" s="30" t="n">
        <v>3</v>
      </c>
      <c r="D500" s="30" t="n">
        <v>0</v>
      </c>
      <c r="E500" s="30">
        <f>B500+C500+D500</f>
        <v/>
      </c>
      <c r="F500" s="31" t="n">
        <v>-0.2117</v>
      </c>
    </row>
    <row r="501">
      <c r="A501" s="29" t="n">
        <v>99.2</v>
      </c>
      <c r="B501" s="30" t="n">
        <v>14</v>
      </c>
      <c r="C501" s="30" t="n">
        <v>9</v>
      </c>
      <c r="D501" s="30" t="n">
        <v>0</v>
      </c>
      <c r="E501" s="30">
        <f>B501+C501+D501</f>
        <v/>
      </c>
      <c r="F501" s="31" t="n">
        <v>-0.2117</v>
      </c>
    </row>
    <row r="502">
      <c r="A502" s="29" t="n">
        <v>99.40000000000001</v>
      </c>
      <c r="B502" s="30" t="n">
        <v>6</v>
      </c>
      <c r="C502" s="30" t="n">
        <v>3</v>
      </c>
      <c r="D502" s="30" t="n">
        <v>0</v>
      </c>
      <c r="E502" s="30">
        <f>B502+C502+D502</f>
        <v/>
      </c>
      <c r="F502" s="31" t="n">
        <v>-0.2117</v>
      </c>
    </row>
    <row r="503">
      <c r="A503" s="29" t="n">
        <v>99.59999999999999</v>
      </c>
      <c r="B503" s="30" t="n">
        <v>12</v>
      </c>
      <c r="C503" s="30" t="n">
        <v>0</v>
      </c>
      <c r="D503" s="30" t="n">
        <v>0</v>
      </c>
      <c r="E503" s="30">
        <f>B503+C503+D503</f>
        <v/>
      </c>
      <c r="F503" s="31" t="n">
        <v>-0.2117</v>
      </c>
    </row>
    <row r="504">
      <c r="A504" s="29" t="n">
        <v>99.8</v>
      </c>
      <c r="B504" s="30" t="n">
        <v>13</v>
      </c>
      <c r="C504" s="30" t="n">
        <v>1</v>
      </c>
      <c r="D504" s="30" t="n">
        <v>0</v>
      </c>
      <c r="E504" s="30">
        <f>B504+C504+D504</f>
        <v/>
      </c>
      <c r="F504" s="31" t="n">
        <v>-0.2117</v>
      </c>
    </row>
    <row r="505">
      <c r="A505" s="29" t="n">
        <v>100</v>
      </c>
      <c r="B505" s="30" t="n">
        <v>11</v>
      </c>
      <c r="C505" s="30" t="n">
        <v>5</v>
      </c>
      <c r="D505" s="30" t="n">
        <v>0</v>
      </c>
      <c r="E505" s="30">
        <f>B505+C505+D505</f>
        <v/>
      </c>
      <c r="F505" s="31" t="n">
        <v>-0.2117</v>
      </c>
    </row>
    <row r="506">
      <c r="A506" s="29" t="n">
        <v>100.2</v>
      </c>
      <c r="B506" s="30" t="n">
        <v>9</v>
      </c>
      <c r="C506" s="30" t="n">
        <v>4</v>
      </c>
      <c r="D506" s="30" t="n">
        <v>0</v>
      </c>
      <c r="E506" s="30">
        <f>B506+C506+D506</f>
        <v/>
      </c>
      <c r="F506" s="31" t="n">
        <v>-0.2117</v>
      </c>
    </row>
    <row r="507">
      <c r="A507" s="29" t="n">
        <v>100.4</v>
      </c>
      <c r="B507" s="30" t="n">
        <v>13</v>
      </c>
      <c r="C507" s="30" t="n">
        <v>8</v>
      </c>
      <c r="D507" s="30" t="n">
        <v>0</v>
      </c>
      <c r="E507" s="30">
        <f>B507+C507+D507</f>
        <v/>
      </c>
      <c r="F507" s="31" t="n">
        <v>-0.2117</v>
      </c>
    </row>
    <row r="508">
      <c r="A508" s="29" t="n">
        <v>100.6</v>
      </c>
      <c r="B508" s="30" t="n">
        <v>11</v>
      </c>
      <c r="C508" s="30" t="n">
        <v>8</v>
      </c>
      <c r="D508" s="30" t="n">
        <v>0</v>
      </c>
      <c r="E508" s="30">
        <f>B508+C508+D508</f>
        <v/>
      </c>
      <c r="F508" s="31" t="n">
        <v>-0.2117</v>
      </c>
    </row>
    <row r="509">
      <c r="A509" s="29" t="n">
        <v>100.8</v>
      </c>
      <c r="B509" s="30" t="n">
        <v>13</v>
      </c>
      <c r="C509" s="30" t="n">
        <v>6</v>
      </c>
      <c r="D509" s="30" t="n">
        <v>0</v>
      </c>
      <c r="E509" s="30">
        <f>B509+C509+D509</f>
        <v/>
      </c>
      <c r="F509" s="31" t="n">
        <v>-0.2117</v>
      </c>
    </row>
    <row r="510">
      <c r="A510" s="29" t="n">
        <v>101</v>
      </c>
      <c r="B510" s="30" t="n">
        <v>14</v>
      </c>
      <c r="C510" s="30" t="n">
        <v>8</v>
      </c>
      <c r="D510" s="30" t="n">
        <v>0</v>
      </c>
      <c r="E510" s="30">
        <f>B510+C510+D510</f>
        <v/>
      </c>
      <c r="F510" s="31" t="n">
        <v>-0.2117</v>
      </c>
    </row>
    <row r="511">
      <c r="A511" s="29" t="n">
        <v>101.2</v>
      </c>
      <c r="B511" s="30" t="n">
        <v>14</v>
      </c>
      <c r="C511" s="30" t="n">
        <v>3</v>
      </c>
      <c r="D511" s="30" t="n">
        <v>0</v>
      </c>
      <c r="E511" s="30">
        <f>B511+C511+D511</f>
        <v/>
      </c>
      <c r="F511" s="31" t="n">
        <v>-0.2117</v>
      </c>
    </row>
    <row r="512">
      <c r="A512" s="29" t="n">
        <v>101.4</v>
      </c>
      <c r="B512" s="30" t="n">
        <v>13</v>
      </c>
      <c r="C512" s="30" t="n">
        <v>0</v>
      </c>
      <c r="D512" s="30" t="n">
        <v>0</v>
      </c>
      <c r="E512" s="30">
        <f>B512+C512+D512</f>
        <v/>
      </c>
      <c r="F512" s="31" t="n">
        <v>-0.2117</v>
      </c>
    </row>
    <row r="513">
      <c r="A513" s="29" t="n">
        <v>101.6</v>
      </c>
      <c r="B513" s="30" t="n">
        <v>13</v>
      </c>
      <c r="C513" s="30" t="n">
        <v>5</v>
      </c>
      <c r="D513" s="30" t="n">
        <v>0</v>
      </c>
      <c r="E513" s="30">
        <f>B513+C513+D513</f>
        <v/>
      </c>
      <c r="F513" s="31" t="n">
        <v>-0.2117</v>
      </c>
    </row>
    <row r="514">
      <c r="A514" s="29" t="n">
        <v>101.8</v>
      </c>
      <c r="B514" s="30" t="n">
        <v>12</v>
      </c>
      <c r="C514" s="30" t="n">
        <v>5</v>
      </c>
      <c r="D514" s="30" t="n">
        <v>0</v>
      </c>
      <c r="E514" s="30">
        <f>B514+C514+D514</f>
        <v/>
      </c>
      <c r="F514" s="31" t="n">
        <v>-0.2117</v>
      </c>
    </row>
    <row r="515">
      <c r="A515" s="29" t="n">
        <v>102</v>
      </c>
      <c r="B515" s="30" t="n">
        <v>9</v>
      </c>
      <c r="C515" s="30" t="n">
        <v>5</v>
      </c>
      <c r="D515" s="30" t="n">
        <v>0</v>
      </c>
      <c r="E515" s="30">
        <f>B515+C515+D515</f>
        <v/>
      </c>
      <c r="F515" s="31" t="n">
        <v>-0.2117</v>
      </c>
    </row>
    <row r="516">
      <c r="A516" s="29" t="n">
        <v>102.2</v>
      </c>
      <c r="B516" s="30" t="n">
        <v>9</v>
      </c>
      <c r="C516" s="30" t="n">
        <v>7</v>
      </c>
      <c r="D516" s="30" t="n">
        <v>0</v>
      </c>
      <c r="E516" s="30">
        <f>B516+C516+D516</f>
        <v/>
      </c>
      <c r="F516" s="31" t="n">
        <v>-0.2117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3" customWidth="1" min="10" max="10"/>
    <col width="26" customWidth="1" min="11" max="11"/>
    <col width="17" customWidth="1" min="12" max="12"/>
    <col width="17" customWidth="1" min="13" max="13"/>
  </cols>
  <sheetData>
    <row r="1">
      <c r="A1" s="1" t="inlineStr">
        <is>
          <t>Gains relatifs des voies de courant — campagne de 18 impulsions et vérification</t>
        </is>
      </c>
    </row>
    <row r="2">
      <c r="A2" s="2" t="inlineStr">
        <is>
          <t>Échantillonnage 47,5 cycles ; delta = moyenne 30–50 ms − repos 60–100 ms ; 1re impulsion de chaque configuration écartée (alignement du rotor)</t>
        </is>
      </c>
    </row>
    <row r="3">
      <c r="A3" s="2" t="inlineStr">
        <is>
          <t>Modèle : Ia+Ib+Ic = 0 ⇒ dA + x·dB + y·dC = 0, x = 1/gB, y = 1/gC ; moindres carrés sur toutes les impulsions (équations normales 2×2, recalculées ci-contre par formules).</t>
        </is>
      </c>
    </row>
    <row r="4">
      <c r="K4" s="8" t="inlineStr">
        <is>
          <t>Ajustement</t>
        </is>
      </c>
    </row>
    <row r="5">
      <c r="A5" s="3" t="inlineStr">
        <is>
          <t>Run</t>
        </is>
      </c>
      <c r="B5" s="3" t="inlineStr">
        <is>
          <t>#</t>
        </is>
      </c>
      <c r="C5" s="3" t="inlineStr">
        <is>
          <t>Configuration (‰)</t>
        </is>
      </c>
      <c r="D5" s="3" t="inlineStr">
        <is>
          <t>dA (counts)</t>
        </is>
      </c>
      <c r="E5" s="3" t="inlineStr">
        <is>
          <t>dB (counts)</t>
        </is>
      </c>
      <c r="F5" s="3" t="inlineStr">
        <is>
          <t>dC (counts)</t>
        </is>
      </c>
      <c r="G5" s="3" t="inlineStr">
        <is>
          <t>Σ brute (counts)</t>
        </is>
      </c>
      <c r="H5" s="3" t="inlineStr">
        <is>
          <t>Erreur brute</t>
        </is>
      </c>
      <c r="I5" s="3" t="inlineStr">
        <is>
          <t>Erreur corrigée</t>
        </is>
      </c>
      <c r="K5" s="3" t="inlineStr">
        <is>
          <t>Grandeur</t>
        </is>
      </c>
      <c r="L5" s="3" t="inlineStr">
        <is>
          <t>Run 1 (sans corr.)</t>
        </is>
      </c>
      <c r="M5" s="3" t="inlineStr">
        <is>
          <t>Run 2 (avec corr.)</t>
        </is>
      </c>
    </row>
    <row r="6">
      <c r="A6" s="4" t="inlineStr">
        <is>
          <t>1</t>
        </is>
      </c>
      <c r="B6" s="26" t="n">
        <v>1</v>
      </c>
      <c r="C6" s="4" t="inlineStr">
        <is>
          <t>600/500/500</t>
        </is>
      </c>
      <c r="D6" s="18" t="n">
        <v>103.007</v>
      </c>
      <c r="E6" s="18" t="n">
        <v>-31.381</v>
      </c>
      <c r="F6" s="18" t="n">
        <v>-69.45999999999999</v>
      </c>
      <c r="G6" s="18">
        <f>D6+E6+F6</f>
        <v/>
      </c>
      <c r="H6" s="15">
        <f>G6/MAX(ABS(D6),ABS(E6),ABS(F6))</f>
        <v/>
      </c>
      <c r="I6" s="15">
        <f>(D6+E6*L$12+F6*L$13)/MAX(ABS(D6),ABS(E6*L$12),ABS(F6*L$13))</f>
        <v/>
      </c>
      <c r="K6" s="11" t="inlineStr">
        <is>
          <t>Σ dB²</t>
        </is>
      </c>
      <c r="L6" s="32">
        <f>SUMPRODUCT($E$6:$E$23,$E$6:$E$23)</f>
        <v/>
      </c>
      <c r="M6" s="32">
        <f>SUMPRODUCT($E$27:$E$38,$E$27:$E$38)</f>
        <v/>
      </c>
    </row>
    <row r="7">
      <c r="A7" s="4" t="inlineStr">
        <is>
          <t>1</t>
        </is>
      </c>
      <c r="B7" s="26" t="n">
        <v>2</v>
      </c>
      <c r="C7" s="4" t="inlineStr">
        <is>
          <t>600/500/500</t>
        </is>
      </c>
      <c r="D7" s="18" t="n">
        <v>102.666</v>
      </c>
      <c r="E7" s="18" t="n">
        <v>-32.233</v>
      </c>
      <c r="F7" s="18" t="n">
        <v>-68.91</v>
      </c>
      <c r="G7" s="18">
        <f>D7+E7+F7</f>
        <v/>
      </c>
      <c r="H7" s="15">
        <f>G7/MAX(ABS(D7),ABS(E7),ABS(F7))</f>
        <v/>
      </c>
      <c r="I7" s="15">
        <f>(D7+E7*L$12+F7*L$13)/MAX(ABS(D7),ABS(E7*L$12),ABS(F7*L$13))</f>
        <v/>
      </c>
      <c r="K7" s="11" t="inlineStr">
        <is>
          <t>Σ dC²</t>
        </is>
      </c>
      <c r="L7" s="32">
        <f>SUMPRODUCT($F$6:$F$23,$F$6:$F$23)</f>
        <v/>
      </c>
      <c r="M7" s="32">
        <f>SUMPRODUCT($F$27:$F$38,$F$27:$F$38)</f>
        <v/>
      </c>
    </row>
    <row r="8">
      <c r="A8" s="4" t="inlineStr">
        <is>
          <t>1</t>
        </is>
      </c>
      <c r="B8" s="26" t="n">
        <v>3</v>
      </c>
      <c r="C8" s="4" t="inlineStr">
        <is>
          <t>600/500/500</t>
        </is>
      </c>
      <c r="D8" s="18" t="n">
        <v>102.91</v>
      </c>
      <c r="E8" s="18" t="n">
        <v>-32.601</v>
      </c>
      <c r="F8" s="18" t="n">
        <v>-68.992</v>
      </c>
      <c r="G8" s="18">
        <f>D8+E8+F8</f>
        <v/>
      </c>
      <c r="H8" s="15">
        <f>G8/MAX(ABS(D8),ABS(E8),ABS(F8))</f>
        <v/>
      </c>
      <c r="I8" s="15">
        <f>(D8+E8*L$12+F8*L$13)/MAX(ABS(D8),ABS(E8*L$12),ABS(F8*L$13))</f>
        <v/>
      </c>
      <c r="K8" s="11" t="inlineStr">
        <is>
          <t>Σ dB·dC</t>
        </is>
      </c>
      <c r="L8" s="32">
        <f>SUMPRODUCT($E$6:$E$23,$F$6:$F$23)</f>
        <v/>
      </c>
      <c r="M8" s="32">
        <f>SUMPRODUCT($E$27:$E$38,$F$27:$F$38)</f>
        <v/>
      </c>
    </row>
    <row r="9">
      <c r="A9" s="4" t="inlineStr">
        <is>
          <t>1</t>
        </is>
      </c>
      <c r="B9" s="26" t="n">
        <v>1</v>
      </c>
      <c r="C9" s="4" t="inlineStr">
        <is>
          <t>400/500/500</t>
        </is>
      </c>
      <c r="D9" s="18" t="n">
        <v>-103.852</v>
      </c>
      <c r="E9" s="18" t="n">
        <v>35.656</v>
      </c>
      <c r="F9" s="18" t="n">
        <v>53.584</v>
      </c>
      <c r="G9" s="18">
        <f>D9+E9+F9</f>
        <v/>
      </c>
      <c r="H9" s="15">
        <f>G9/MAX(ABS(D9),ABS(E9),ABS(F9))</f>
        <v/>
      </c>
      <c r="I9" s="15">
        <f>(D9+E9*L$12+F9*L$13)/MAX(ABS(D9),ABS(E9*L$12),ABS(F9*L$13))</f>
        <v/>
      </c>
      <c r="K9" s="11" t="inlineStr">
        <is>
          <t>Σ dA·dB</t>
        </is>
      </c>
      <c r="L9" s="32">
        <f>SUMPRODUCT($D$6:$D$23,$E$6:$E$23)</f>
        <v/>
      </c>
      <c r="M9" s="32">
        <f>SUMPRODUCT($D$27:$D$38,$E$27:$E$38)</f>
        <v/>
      </c>
    </row>
    <row r="10">
      <c r="A10" s="4" t="inlineStr">
        <is>
          <t>1</t>
        </is>
      </c>
      <c r="B10" s="26" t="n">
        <v>2</v>
      </c>
      <c r="C10" s="4" t="inlineStr">
        <is>
          <t>400/500/500</t>
        </is>
      </c>
      <c r="D10" s="18" t="n">
        <v>-103.929</v>
      </c>
      <c r="E10" s="18" t="n">
        <v>31.449</v>
      </c>
      <c r="F10" s="18" t="n">
        <v>60.024</v>
      </c>
      <c r="G10" s="18">
        <f>D10+E10+F10</f>
        <v/>
      </c>
      <c r="H10" s="15">
        <f>G10/MAX(ABS(D10),ABS(E10),ABS(F10))</f>
        <v/>
      </c>
      <c r="I10" s="15">
        <f>(D10+E10*L$12+F10*L$13)/MAX(ABS(D10),ABS(E10*L$12),ABS(F10*L$13))</f>
        <v/>
      </c>
      <c r="K10" s="11" t="inlineStr">
        <is>
          <t>Σ dA·dC</t>
        </is>
      </c>
      <c r="L10" s="32">
        <f>SUMPRODUCT($D$6:$D$23,$F$6:$F$23)</f>
        <v/>
      </c>
      <c r="M10" s="32">
        <f>SUMPRODUCT($D$27:$D$38,$F$27:$F$38)</f>
        <v/>
      </c>
    </row>
    <row r="11">
      <c r="A11" s="4" t="inlineStr">
        <is>
          <t>1</t>
        </is>
      </c>
      <c r="B11" s="26" t="n">
        <v>3</v>
      </c>
      <c r="C11" s="4" t="inlineStr">
        <is>
          <t>400/500/500</t>
        </is>
      </c>
      <c r="D11" s="18" t="n">
        <v>-104.415</v>
      </c>
      <c r="E11" s="18" t="n">
        <v>31.331</v>
      </c>
      <c r="F11" s="18" t="n">
        <v>60</v>
      </c>
      <c r="G11" s="18">
        <f>D11+E11+F11</f>
        <v/>
      </c>
      <c r="H11" s="15">
        <f>G11/MAX(ABS(D11),ABS(E11),ABS(F11))</f>
        <v/>
      </c>
      <c r="I11" s="15">
        <f>(D11+E11*L$12+F11*L$13)/MAX(ABS(D11),ABS(E11*L$12),ABS(F11*L$13))</f>
        <v/>
      </c>
      <c r="K11" s="11" t="inlineStr">
        <is>
          <t>Déterminant</t>
        </is>
      </c>
      <c r="L11" s="33">
        <f>L6*L7-L8*L8</f>
        <v/>
      </c>
      <c r="M11" s="33">
        <f>M6*M7-M8*M8</f>
        <v/>
      </c>
    </row>
    <row r="12">
      <c r="A12" s="4" t="inlineStr">
        <is>
          <t>1</t>
        </is>
      </c>
      <c r="B12" s="26" t="n">
        <v>1</v>
      </c>
      <c r="C12" s="4" t="inlineStr">
        <is>
          <t>500/600/500</t>
        </is>
      </c>
      <c r="D12" s="18" t="n">
        <v>-53.262</v>
      </c>
      <c r="E12" s="18" t="n">
        <v>66.56399999999999</v>
      </c>
      <c r="F12" s="18" t="n">
        <v>-62.515</v>
      </c>
      <c r="G12" s="18">
        <f>D12+E12+F12</f>
        <v/>
      </c>
      <c r="H12" s="15">
        <f>G12/MAX(ABS(D12),ABS(E12),ABS(F12))</f>
        <v/>
      </c>
      <c r="I12" s="15">
        <f>(D12+E12*L$12+F12*L$13)/MAX(ABS(D12),ABS(E12*L$12),ABS(F12*L$13))</f>
        <v/>
      </c>
      <c r="K12" s="11" t="inlineStr">
        <is>
          <t>x = 1/gB</t>
        </is>
      </c>
      <c r="L12" s="34">
        <f>(-L9*L7+L10*L8)/L11</f>
        <v/>
      </c>
      <c r="M12" s="34">
        <f>(-M9*M7+M10*M8)/M11</f>
        <v/>
      </c>
    </row>
    <row r="13">
      <c r="A13" s="4" t="inlineStr">
        <is>
          <t>1</t>
        </is>
      </c>
      <c r="B13" s="26" t="n">
        <v>2</v>
      </c>
      <c r="C13" s="4" t="inlineStr">
        <is>
          <t>500/600/500</t>
        </is>
      </c>
      <c r="D13" s="18" t="n">
        <v>-53.771</v>
      </c>
      <c r="E13" s="18" t="n">
        <v>66.69199999999999</v>
      </c>
      <c r="F13" s="18" t="n">
        <v>-62.826</v>
      </c>
      <c r="G13" s="18">
        <f>D13+E13+F13</f>
        <v/>
      </c>
      <c r="H13" s="15">
        <f>G13/MAX(ABS(D13),ABS(E13),ABS(F13))</f>
        <v/>
      </c>
      <c r="I13" s="15">
        <f>(D13+E13*L$12+F13*L$13)/MAX(ABS(D13),ABS(E13*L$12),ABS(F13*L$13))</f>
        <v/>
      </c>
      <c r="K13" s="11" t="inlineStr">
        <is>
          <t>y = 1/gC</t>
        </is>
      </c>
      <c r="L13" s="34">
        <f>(-L10*L6+L9*L8)/L11</f>
        <v/>
      </c>
      <c r="M13" s="34">
        <f>(-M10*M6+M9*M8)/M11</f>
        <v/>
      </c>
    </row>
    <row r="14">
      <c r="A14" s="4" t="inlineStr">
        <is>
          <t>1</t>
        </is>
      </c>
      <c r="B14" s="26" t="n">
        <v>3</v>
      </c>
      <c r="C14" s="4" t="inlineStr">
        <is>
          <t>500/600/500</t>
        </is>
      </c>
      <c r="D14" s="18" t="n">
        <v>-53.918</v>
      </c>
      <c r="E14" s="18" t="n">
        <v>66.73399999999999</v>
      </c>
      <c r="F14" s="18" t="n">
        <v>-62.567</v>
      </c>
      <c r="G14" s="18">
        <f>D14+E14+F14</f>
        <v/>
      </c>
      <c r="H14" s="15">
        <f>G14/MAX(ABS(D14),ABS(E14),ABS(F14))</f>
        <v/>
      </c>
      <c r="I14" s="15">
        <f>(D14+E14*L$12+F14*L$13)/MAX(ABS(D14),ABS(E14*L$12),ABS(F14*L$13))</f>
        <v/>
      </c>
      <c r="K14" s="11" t="inlineStr">
        <is>
          <t>gB ajusté (relatif à A)</t>
        </is>
      </c>
      <c r="L14" s="35">
        <f>1/L12</f>
        <v/>
      </c>
      <c r="M14" s="35">
        <f>1/M12</f>
        <v/>
      </c>
    </row>
    <row r="15">
      <c r="A15" s="4" t="inlineStr">
        <is>
          <t>1</t>
        </is>
      </c>
      <c r="B15" s="26" t="n">
        <v>1</v>
      </c>
      <c r="C15" s="4" t="inlineStr">
        <is>
          <t>500/400/500</t>
        </is>
      </c>
      <c r="D15" s="18" t="n">
        <v>16.726</v>
      </c>
      <c r="E15" s="18" t="n">
        <v>-48.91</v>
      </c>
      <c r="F15" s="18" t="n">
        <v>64.61799999999999</v>
      </c>
      <c r="G15" s="18">
        <f>D15+E15+F15</f>
        <v/>
      </c>
      <c r="H15" s="15">
        <f>G15/MAX(ABS(D15),ABS(E15),ABS(F15))</f>
        <v/>
      </c>
      <c r="I15" s="15">
        <f>(D15+E15*L$12+F15*L$13)/MAX(ABS(D15),ABS(E15*L$12),ABS(F15*L$13))</f>
        <v/>
      </c>
      <c r="K15" s="11" t="inlineStr">
        <is>
          <t>gC ajusté (relatif à A)</t>
        </is>
      </c>
      <c r="L15" s="35">
        <f>1/L13</f>
        <v/>
      </c>
      <c r="M15" s="35">
        <f>1/M13</f>
        <v/>
      </c>
    </row>
    <row r="16">
      <c r="A16" s="4" t="inlineStr">
        <is>
          <t>1</t>
        </is>
      </c>
      <c r="B16" s="26" t="n">
        <v>2</v>
      </c>
      <c r="C16" s="4" t="inlineStr">
        <is>
          <t>500/400/500</t>
        </is>
      </c>
      <c r="D16" s="18" t="n">
        <v>52.071</v>
      </c>
      <c r="E16" s="18" t="n">
        <v>-68.17100000000001</v>
      </c>
      <c r="F16" s="18" t="n">
        <v>52.914</v>
      </c>
      <c r="G16" s="18">
        <f>D16+E16+F16</f>
        <v/>
      </c>
      <c r="H16" s="15">
        <f>G16/MAX(ABS(D16),ABS(E16),ABS(F16))</f>
        <v/>
      </c>
      <c r="I16" s="15">
        <f>(D16+E16*L$12+F16*L$13)/MAX(ABS(D16),ABS(E16*L$12),ABS(F16*L$13))</f>
        <v/>
      </c>
      <c r="K16" s="11" t="inlineStr">
        <is>
          <t>gB imprimé par le script</t>
        </is>
      </c>
      <c r="L16" s="13" t="n">
        <v>0.6556</v>
      </c>
      <c r="M16" s="13" t="n">
        <v>1.0032</v>
      </c>
    </row>
    <row r="17">
      <c r="A17" s="4" t="inlineStr">
        <is>
          <t>1</t>
        </is>
      </c>
      <c r="B17" s="26" t="n">
        <v>3</v>
      </c>
      <c r="C17" s="4" t="inlineStr">
        <is>
          <t>500/400/500</t>
        </is>
      </c>
      <c r="D17" s="18" t="n">
        <v>51.973</v>
      </c>
      <c r="E17" s="18" t="n">
        <v>-67.71899999999999</v>
      </c>
      <c r="F17" s="18" t="n">
        <v>53.369</v>
      </c>
      <c r="G17" s="18">
        <f>D17+E17+F17</f>
        <v/>
      </c>
      <c r="H17" s="15">
        <f>G17/MAX(ABS(D17),ABS(E17),ABS(F17))</f>
        <v/>
      </c>
      <c r="I17" s="15">
        <f>(D17+E17*L$12+F17*L$13)/MAX(ABS(D17),ABS(E17*L$12),ABS(F17*L$13))</f>
        <v/>
      </c>
      <c r="K17" s="11" t="inlineStr">
        <is>
          <t>gC imprimé par le script</t>
        </is>
      </c>
      <c r="L17" s="13" t="n">
        <v>1.1948</v>
      </c>
      <c r="M17" s="13" t="n">
        <v>1.0138</v>
      </c>
    </row>
    <row r="18">
      <c r="A18" s="4" t="inlineStr">
        <is>
          <t>1</t>
        </is>
      </c>
      <c r="B18" s="26" t="n">
        <v>1</v>
      </c>
      <c r="C18" s="4" t="inlineStr">
        <is>
          <t>500/500/600</t>
        </is>
      </c>
      <c r="D18" s="18" t="n">
        <v>-50.527</v>
      </c>
      <c r="E18" s="18" t="n">
        <v>-30.126</v>
      </c>
      <c r="F18" s="18" t="n">
        <v>112.527</v>
      </c>
      <c r="G18" s="18">
        <f>D18+E18+F18</f>
        <v/>
      </c>
      <c r="H18" s="15">
        <f>G18/MAX(ABS(D18),ABS(E18),ABS(F18))</f>
        <v/>
      </c>
      <c r="I18" s="15">
        <f>(D18+E18*L$12+F18*L$13)/MAX(ABS(D18),ABS(E18*L$12),ABS(F18*L$13))</f>
        <v/>
      </c>
      <c r="K18" s="11" t="inlineStr">
        <is>
          <t>Impulsions</t>
        </is>
      </c>
      <c r="L18" s="27">
        <f>COUNT(D6:D23)</f>
        <v/>
      </c>
      <c r="M18" s="27">
        <f>COUNT(D27:D38)</f>
        <v/>
      </c>
    </row>
    <row r="19">
      <c r="A19" s="4" t="inlineStr">
        <is>
          <t>1</t>
        </is>
      </c>
      <c r="B19" s="26" t="n">
        <v>2</v>
      </c>
      <c r="C19" s="4" t="inlineStr">
        <is>
          <t>500/500/600</t>
        </is>
      </c>
      <c r="D19" s="18" t="n">
        <v>-50.795</v>
      </c>
      <c r="E19" s="18" t="n">
        <v>-30.454</v>
      </c>
      <c r="F19" s="18" t="n">
        <v>111.737</v>
      </c>
      <c r="G19" s="18">
        <f>D19+E19+F19</f>
        <v/>
      </c>
      <c r="H19" s="15">
        <f>G19/MAX(ABS(D19),ABS(E19),ABS(F19))</f>
        <v/>
      </c>
      <c r="I19" s="15">
        <f>(D19+E19*L$12+F19*L$13)/MAX(ABS(D19),ABS(E19*L$12),ABS(F19*L$13))</f>
        <v/>
      </c>
      <c r="K19" s="11" t="inlineStr">
        <is>
          <t>Erreur brute rms</t>
        </is>
      </c>
      <c r="L19" s="15">
        <f>SQRT(SUMSQ(H6:H23)/COUNT(H6:H23))</f>
        <v/>
      </c>
      <c r="M19" s="15">
        <f>SQRT(SUMSQ(H27:H38)/COUNT(H27:H38))</f>
        <v/>
      </c>
    </row>
    <row r="20">
      <c r="A20" s="4" t="inlineStr">
        <is>
          <t>1</t>
        </is>
      </c>
      <c r="B20" s="26" t="n">
        <v>3</v>
      </c>
      <c r="C20" s="4" t="inlineStr">
        <is>
          <t>500/500/600</t>
        </is>
      </c>
      <c r="D20" s="18" t="n">
        <v>-50.471</v>
      </c>
      <c r="E20" s="18" t="n">
        <v>-30.24</v>
      </c>
      <c r="F20" s="18" t="n">
        <v>112.311</v>
      </c>
      <c r="G20" s="18">
        <f>D20+E20+F20</f>
        <v/>
      </c>
      <c r="H20" s="15">
        <f>G20/MAX(ABS(D20),ABS(E20),ABS(F20))</f>
        <v/>
      </c>
      <c r="I20" s="15">
        <f>(D20+E20*L$12+F20*L$13)/MAX(ABS(D20),ABS(E20*L$12),ABS(F20*L$13))</f>
        <v/>
      </c>
      <c r="K20" s="11" t="inlineStr">
        <is>
          <t>Erreur brute pire</t>
        </is>
      </c>
      <c r="L20" s="15">
        <f>MAX(MAX(H6:H23),-MIN(H6:H23))</f>
        <v/>
      </c>
      <c r="M20" s="15">
        <f>MAX(MAX(H27:H38),-MIN(H27:H38))</f>
        <v/>
      </c>
    </row>
    <row r="21">
      <c r="A21" s="4" t="inlineStr">
        <is>
          <t>1</t>
        </is>
      </c>
      <c r="B21" s="26" t="n">
        <v>1</v>
      </c>
      <c r="C21" s="4" t="inlineStr">
        <is>
          <t>500/500/400</t>
        </is>
      </c>
      <c r="D21" s="18" t="n">
        <v>39.76</v>
      </c>
      <c r="E21" s="18" t="n">
        <v>36.11</v>
      </c>
      <c r="F21" s="18" t="n">
        <v>-118.791</v>
      </c>
      <c r="G21" s="18">
        <f>D21+E21+F21</f>
        <v/>
      </c>
      <c r="H21" s="15">
        <f>G21/MAX(ABS(D21),ABS(E21),ABS(F21))</f>
        <v/>
      </c>
      <c r="I21" s="15">
        <f>(D21+E21*L$12+F21*L$13)/MAX(ABS(D21),ABS(E21*L$12),ABS(F21*L$13))</f>
        <v/>
      </c>
      <c r="K21" s="11" t="inlineStr">
        <is>
          <t>Erreur corrigée rms</t>
        </is>
      </c>
      <c r="L21" s="15">
        <f>SQRT(SUMSQ(I6:I23)/COUNT(I6:I23))</f>
        <v/>
      </c>
      <c r="M21" s="15">
        <f>SQRT(SUMSQ(I27:I38)/COUNT(I27:I38))</f>
        <v/>
      </c>
    </row>
    <row r="22">
      <c r="A22" s="4" t="inlineStr">
        <is>
          <t>1</t>
        </is>
      </c>
      <c r="B22" s="26" t="n">
        <v>2</v>
      </c>
      <c r="C22" s="4" t="inlineStr">
        <is>
          <t>500/500/400</t>
        </is>
      </c>
      <c r="D22" s="18" t="n">
        <v>47.828</v>
      </c>
      <c r="E22" s="18" t="n">
        <v>32.505</v>
      </c>
      <c r="F22" s="18" t="n">
        <v>-120.911</v>
      </c>
      <c r="G22" s="18">
        <f>D22+E22+F22</f>
        <v/>
      </c>
      <c r="H22" s="15">
        <f>G22/MAX(ABS(D22),ABS(E22),ABS(F22))</f>
        <v/>
      </c>
      <c r="I22" s="15">
        <f>(D22+E22*L$12+F22*L$13)/MAX(ABS(D22),ABS(E22*L$12),ABS(F22*L$13))</f>
        <v/>
      </c>
      <c r="K22" s="11" t="inlineStr">
        <is>
          <t>Erreur corrigée pire</t>
        </is>
      </c>
      <c r="L22" s="15">
        <f>MAX(MAX(I6:I23),-MIN(I6:I23))</f>
        <v/>
      </c>
      <c r="M22" s="15">
        <f>MAX(MAX(I27:I38),-MIN(I27:I38))</f>
        <v/>
      </c>
    </row>
    <row r="23">
      <c r="A23" s="4" t="inlineStr">
        <is>
          <t>1</t>
        </is>
      </c>
      <c r="B23" s="26" t="n">
        <v>3</v>
      </c>
      <c r="C23" s="4" t="inlineStr">
        <is>
          <t>500/500/400</t>
        </is>
      </c>
      <c r="D23" s="18" t="n">
        <v>50.171</v>
      </c>
      <c r="E23" s="18" t="n">
        <v>31.844</v>
      </c>
      <c r="F23" s="18" t="n">
        <v>-120.995</v>
      </c>
      <c r="G23" s="18">
        <f>D23+E23+F23</f>
        <v/>
      </c>
      <c r="H23" s="15">
        <f>G23/MAX(ABS(D23),ABS(E23),ABS(F23))</f>
        <v/>
      </c>
      <c r="I23" s="15">
        <f>(D23+E23*L$12+F23*L$13)/MAX(ABS(D23),ABS(E23*L$12),ABS(F23*L$13))</f>
        <v/>
      </c>
      <c r="K23" s="2" t="inlineStr">
        <is>
          <t>Sources : gains_run1.txt, gains_run2.txt (ligne JSON). Police bleue : valeurs imprimées par le script, pour contrôle des formules.</t>
        </is>
      </c>
    </row>
    <row r="25">
      <c r="A25" s="2" t="inlineStr">
        <is>
          <t>Run 2 : même campagne rejouée avec la correction de gain active dans le firmware (courants déjà corrigés).</t>
        </is>
      </c>
      <c r="K25" s="8" t="inlineStr">
        <is>
          <t>Lecture</t>
        </is>
      </c>
    </row>
    <row r="26" ht="30" customHeight="1">
      <c r="A26" s="3" t="inlineStr">
        <is>
          <t>Run</t>
        </is>
      </c>
      <c r="B26" s="3" t="inlineStr">
        <is>
          <t>#</t>
        </is>
      </c>
      <c r="C26" s="3" t="inlineStr">
        <is>
          <t>Configuration (‰)</t>
        </is>
      </c>
      <c r="D26" s="3" t="inlineStr">
        <is>
          <t>dA (counts)</t>
        </is>
      </c>
      <c r="E26" s="3" t="inlineStr">
        <is>
          <t>dB (counts)</t>
        </is>
      </c>
      <c r="F26" s="3" t="inlineStr">
        <is>
          <t>dC (counts)</t>
        </is>
      </c>
      <c r="G26" s="3" t="inlineStr">
        <is>
          <t>Σ brute (counts)</t>
        </is>
      </c>
      <c r="H26" s="3" t="inlineStr">
        <is>
          <t>Erreur brute</t>
        </is>
      </c>
      <c r="I26" s="3" t="inlineStr">
        <is>
          <t>Erreur corrigée</t>
        </is>
      </c>
      <c r="K26" s="10" t="inlineStr">
        <is>
          <t>Run 1 : gB = 0,656 et gC = 1,195 ; la somme passe de 41,8 % rms (74,8 % pire) brute à 4,6 % (7,3 %) après correction.</t>
        </is>
      </c>
    </row>
    <row r="27" ht="30" customHeight="1">
      <c r="A27" s="4" t="inlineStr">
        <is>
          <t>2</t>
        </is>
      </c>
      <c r="B27" s="26" t="n">
        <v>1</v>
      </c>
      <c r="C27" s="4" t="inlineStr">
        <is>
          <t>600/500/500</t>
        </is>
      </c>
      <c r="D27" s="18" t="n">
        <v>122.748</v>
      </c>
      <c r="E27" s="18" t="n">
        <v>-65.608</v>
      </c>
      <c r="F27" s="18" t="n">
        <v>-63.012</v>
      </c>
      <c r="G27" s="18">
        <f>D27+E27+F27</f>
        <v/>
      </c>
      <c r="H27" s="15">
        <f>G27/MAX(ABS(D27),ABS(E27),ABS(F27))</f>
        <v/>
      </c>
      <c r="I27" s="15">
        <f>(D27+E27*M$12+F27*M$13)/MAX(ABS(D27),ABS(E27*M$12),ABS(F27*M$13))</f>
        <v/>
      </c>
      <c r="K27" s="10" t="inlineStr">
        <is>
          <t>Run 2 (firmware corrigé) : gains ré-ajustés 1,003 et 1,014 — la correction est juste à ~1 % ; somme 4,5 % rms / 5,8 % pire telle que mesurée.</t>
        </is>
      </c>
    </row>
    <row r="28" ht="30" customHeight="1">
      <c r="A28" s="4" t="inlineStr">
        <is>
          <t>2</t>
        </is>
      </c>
      <c r="B28" s="26" t="n">
        <v>2</v>
      </c>
      <c r="C28" s="4" t="inlineStr">
        <is>
          <t>600/500/500</t>
        </is>
      </c>
      <c r="D28" s="18" t="n">
        <v>122.925</v>
      </c>
      <c r="E28" s="18" t="n">
        <v>-64.858</v>
      </c>
      <c r="F28" s="18" t="n">
        <v>-63.676</v>
      </c>
      <c r="G28" s="18">
        <f>D28+E28+F28</f>
        <v/>
      </c>
      <c r="H28" s="15">
        <f>G28/MAX(ABS(D28),ABS(E28),ABS(F28))</f>
        <v/>
      </c>
      <c r="I28" s="15">
        <f>(D28+E28*M$12+F28*M$13)/MAX(ABS(D28),ABS(E28*M$12),ABS(F28*M$13))</f>
        <v/>
      </c>
      <c r="K28" s="10" t="inlineStr">
        <is>
          <t>Run 2, colonne « Erreur corrigée » : le ré-ajustement n'améliore plus rien (4,4 % / 6,6 %) — le résidu n'est plus un gain.</t>
        </is>
      </c>
    </row>
    <row r="29" ht="30" customHeight="1">
      <c r="A29" s="4" t="inlineStr">
        <is>
          <t>2</t>
        </is>
      </c>
      <c r="B29" s="26" t="n">
        <v>1</v>
      </c>
      <c r="C29" s="4" t="inlineStr">
        <is>
          <t>400/500/500</t>
        </is>
      </c>
      <c r="D29" s="18" t="n">
        <v>-125.724</v>
      </c>
      <c r="E29" s="18" t="n">
        <v>57.89</v>
      </c>
      <c r="F29" s="18" t="n">
        <v>60.515</v>
      </c>
      <c r="G29" s="18">
        <f>D29+E29+F29</f>
        <v/>
      </c>
      <c r="H29" s="15">
        <f>G29/MAX(ABS(D29),ABS(E29),ABS(F29))</f>
        <v/>
      </c>
      <c r="I29" s="15">
        <f>(D29+E29*M$12+F29*M$13)/MAX(ABS(D29),ABS(E29*M$12),ABS(F29*M$13))</f>
        <v/>
      </c>
      <c r="K29" s="10" t="inlineStr">
        <is>
          <t>Run 1, 500/400/500 #1 : dA = 16,7 au lieu de ~52 (rotor probablement pas encore aligné) — conservé dans l'ajustement, comme dans le script d'origine.</t>
        </is>
      </c>
    </row>
    <row r="30">
      <c r="A30" s="4" t="inlineStr">
        <is>
          <t>2</t>
        </is>
      </c>
      <c r="B30" s="26" t="n">
        <v>2</v>
      </c>
      <c r="C30" s="4" t="inlineStr">
        <is>
          <t>400/500/500</t>
        </is>
      </c>
      <c r="D30" s="18" t="n">
        <v>-123.705</v>
      </c>
      <c r="E30" s="18" t="n">
        <v>65.777</v>
      </c>
      <c r="F30" s="18" t="n">
        <v>51.634</v>
      </c>
      <c r="G30" s="18">
        <f>D30+E30+F30</f>
        <v/>
      </c>
      <c r="H30" s="15">
        <f>G30/MAX(ABS(D30),ABS(E30),ABS(F30))</f>
        <v/>
      </c>
      <c r="I30" s="15">
        <f>(D30+E30*M$12+F30*M$13)/MAX(ABS(D30),ABS(E30*M$12),ABS(F30*M$13))</f>
        <v/>
      </c>
    </row>
    <row r="31">
      <c r="A31" s="4" t="inlineStr">
        <is>
          <t>2</t>
        </is>
      </c>
      <c r="B31" s="26" t="n">
        <v>1</v>
      </c>
      <c r="C31" s="4" t="inlineStr">
        <is>
          <t>500/600/500</t>
        </is>
      </c>
      <c r="D31" s="18" t="n">
        <v>-64.261</v>
      </c>
      <c r="E31" s="18" t="n">
        <v>120.5</v>
      </c>
      <c r="F31" s="18" t="n">
        <v>-62.324</v>
      </c>
      <c r="G31" s="18">
        <f>D31+E31+F31</f>
        <v/>
      </c>
      <c r="H31" s="15">
        <f>G31/MAX(ABS(D31),ABS(E31),ABS(F31))</f>
        <v/>
      </c>
      <c r="I31" s="15">
        <f>(D31+E31*M$12+F31*M$13)/MAX(ABS(D31),ABS(E31*M$12),ABS(F31*M$13))</f>
        <v/>
      </c>
    </row>
    <row r="32">
      <c r="A32" s="4" t="inlineStr">
        <is>
          <t>2</t>
        </is>
      </c>
      <c r="B32" s="26" t="n">
        <v>2</v>
      </c>
      <c r="C32" s="4" t="inlineStr">
        <is>
          <t>500/600/500</t>
        </is>
      </c>
      <c r="D32" s="18" t="n">
        <v>-63.983</v>
      </c>
      <c r="E32" s="18" t="n">
        <v>121.166</v>
      </c>
      <c r="F32" s="18" t="n">
        <v>-62.351</v>
      </c>
      <c r="G32" s="18">
        <f>D32+E32+F32</f>
        <v/>
      </c>
      <c r="H32" s="15">
        <f>G32/MAX(ABS(D32),ABS(E32),ABS(F32))</f>
        <v/>
      </c>
      <c r="I32" s="15">
        <f>(D32+E32*M$12+F32*M$13)/MAX(ABS(D32),ABS(E32*M$12),ABS(F32*M$13))</f>
        <v/>
      </c>
    </row>
    <row r="33">
      <c r="A33" s="4" t="inlineStr">
        <is>
          <t>2</t>
        </is>
      </c>
      <c r="B33" s="26" t="n">
        <v>1</v>
      </c>
      <c r="C33" s="4" t="inlineStr">
        <is>
          <t>500/400/500</t>
        </is>
      </c>
      <c r="D33" s="18" t="n">
        <v>61.816</v>
      </c>
      <c r="E33" s="18" t="n">
        <v>-123.041</v>
      </c>
      <c r="F33" s="18" t="n">
        <v>54.242</v>
      </c>
      <c r="G33" s="18">
        <f>D33+E33+F33</f>
        <v/>
      </c>
      <c r="H33" s="15">
        <f>G33/MAX(ABS(D33),ABS(E33),ABS(F33))</f>
        <v/>
      </c>
      <c r="I33" s="15">
        <f>(D33+E33*M$12+F33*M$13)/MAX(ABS(D33),ABS(E33*M$12),ABS(F33*M$13))</f>
        <v/>
      </c>
    </row>
    <row r="34">
      <c r="A34" s="4" t="inlineStr">
        <is>
          <t>2</t>
        </is>
      </c>
      <c r="B34" s="26" t="n">
        <v>2</v>
      </c>
      <c r="C34" s="4" t="inlineStr">
        <is>
          <t>500/400/500</t>
        </is>
      </c>
      <c r="D34" s="18" t="n">
        <v>62.619</v>
      </c>
      <c r="E34" s="18" t="n">
        <v>-123.341</v>
      </c>
      <c r="F34" s="18" t="n">
        <v>53.932</v>
      </c>
      <c r="G34" s="18">
        <f>D34+E34+F34</f>
        <v/>
      </c>
      <c r="H34" s="15">
        <f>G34/MAX(ABS(D34),ABS(E34),ABS(F34))</f>
        <v/>
      </c>
      <c r="I34" s="15">
        <f>(D34+E34*M$12+F34*M$13)/MAX(ABS(D34),ABS(E34*M$12),ABS(F34*M$13))</f>
        <v/>
      </c>
    </row>
    <row r="35">
      <c r="A35" s="4" t="inlineStr">
        <is>
          <t>2</t>
        </is>
      </c>
      <c r="B35" s="26" t="n">
        <v>1</v>
      </c>
      <c r="C35" s="4" t="inlineStr">
        <is>
          <t>500/500/600</t>
        </is>
      </c>
      <c r="D35" s="18" t="n">
        <v>-61.026</v>
      </c>
      <c r="E35" s="18" t="n">
        <v>-50.799</v>
      </c>
      <c r="F35" s="18" t="n">
        <v>112.321</v>
      </c>
      <c r="G35" s="18">
        <f>D35+E35+F35</f>
        <v/>
      </c>
      <c r="H35" s="15">
        <f>G35/MAX(ABS(D35),ABS(E35),ABS(F35))</f>
        <v/>
      </c>
      <c r="I35" s="15">
        <f>(D35+E35*M$12+F35*M$13)/MAX(ABS(D35),ABS(E35*M$12),ABS(F35*M$13))</f>
        <v/>
      </c>
    </row>
    <row r="36">
      <c r="A36" s="4" t="inlineStr">
        <is>
          <t>2</t>
        </is>
      </c>
      <c r="B36" s="26" t="n">
        <v>2</v>
      </c>
      <c r="C36" s="4" t="inlineStr">
        <is>
          <t>500/500/600</t>
        </is>
      </c>
      <c r="D36" s="18" t="n">
        <v>-61.01</v>
      </c>
      <c r="E36" s="18" t="n">
        <v>-52.34</v>
      </c>
      <c r="F36" s="18" t="n">
        <v>112.837</v>
      </c>
      <c r="G36" s="18">
        <f>D36+E36+F36</f>
        <v/>
      </c>
      <c r="H36" s="15">
        <f>G36/MAX(ABS(D36),ABS(E36),ABS(F36))</f>
        <v/>
      </c>
      <c r="I36" s="15">
        <f>(D36+E36*M$12+F36*M$13)/MAX(ABS(D36),ABS(E36*M$12),ABS(F36*M$13))</f>
        <v/>
      </c>
    </row>
    <row r="37">
      <c r="A37" s="4" t="inlineStr">
        <is>
          <t>2</t>
        </is>
      </c>
      <c r="B37" s="26" t="n">
        <v>1</v>
      </c>
      <c r="C37" s="4" t="inlineStr">
        <is>
          <t>500/500/400</t>
        </is>
      </c>
      <c r="D37" s="18" t="n">
        <v>66.315</v>
      </c>
      <c r="E37" s="18" t="n">
        <v>49.805</v>
      </c>
      <c r="F37" s="18" t="n">
        <v>-120.191</v>
      </c>
      <c r="G37" s="18">
        <f>D37+E37+F37</f>
        <v/>
      </c>
      <c r="H37" s="15">
        <f>G37/MAX(ABS(D37),ABS(E37),ABS(F37))</f>
        <v/>
      </c>
      <c r="I37" s="15">
        <f>(D37+E37*M$12+F37*M$13)/MAX(ABS(D37),ABS(E37*M$12),ABS(F37*M$13))</f>
        <v/>
      </c>
    </row>
    <row r="38">
      <c r="A38" s="4" t="inlineStr">
        <is>
          <t>2</t>
        </is>
      </c>
      <c r="B38" s="26" t="n">
        <v>2</v>
      </c>
      <c r="C38" s="4" t="inlineStr">
        <is>
          <t>500/500/400</t>
        </is>
      </c>
      <c r="D38" s="18" t="n">
        <v>59.436</v>
      </c>
      <c r="E38" s="18" t="n">
        <v>56.812</v>
      </c>
      <c r="F38" s="18" t="n">
        <v>-121.192</v>
      </c>
      <c r="G38" s="18">
        <f>D38+E38+F38</f>
        <v/>
      </c>
      <c r="H38" s="15">
        <f>G38/MAX(ABS(D38),ABS(E38),ABS(F38))</f>
        <v/>
      </c>
      <c r="I38" s="15">
        <f>(D38+E38*M$12+F38*M$13)/MAX(ABS(D38),ABS(E38*M$12),ABS(F38*M$13))</f>
        <v/>
      </c>
    </row>
  </sheetData>
  <mergeCells count="4">
    <mergeCell ref="K28:P28"/>
    <mergeCell ref="K29:P29"/>
    <mergeCell ref="K26:P26"/>
    <mergeCell ref="K27:P2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1" customWidth="1" min="4" max="4"/>
    <col width="13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Zéro de la chaîne de courant au repos</t>
        </is>
      </c>
    </row>
    <row r="2">
      <c r="A2" s="2" t="inlineStr">
        <is>
          <t>Relevé console : 10 240 échantillons par voie, échantillonnage 47,5 cycles, sorties coupées (hors CAL) ; valeurs ADC brutes (mi-échelle = 2048)</t>
        </is>
      </c>
    </row>
    <row r="4" ht="44" customHeight="1">
      <c r="A4" s="3" t="inlineStr">
        <is>
          <t>Voie</t>
        </is>
      </c>
      <c r="B4" s="3" t="inlineStr">
        <is>
          <t>Médiane (ADC)</t>
        </is>
      </c>
      <c r="C4" s="3" t="inlineStr">
        <is>
          <t>Min (ADC)</t>
        </is>
      </c>
      <c r="D4" s="3" t="inlineStr">
        <is>
          <t>Max (ADC)</t>
        </is>
      </c>
      <c r="E4" s="3" t="inlineStr">
        <is>
          <t>Moyenne (ADC)</t>
        </is>
      </c>
      <c r="F4" s="3" t="inlineStr">
        <is>
          <t>Part exactement à 2048</t>
        </is>
      </c>
      <c r="G4" s="3" t="inlineStr">
        <is>
          <t>Médiane − 2048 (counts)</t>
        </is>
      </c>
      <c r="H4" s="3" t="inlineStr">
        <is>
          <t>Étendue max−min (counts)</t>
        </is>
      </c>
      <c r="I4" s="3" t="inlineStr">
        <is>
          <t>Courant centré au repos après correction (counts)</t>
        </is>
      </c>
    </row>
    <row r="5">
      <c r="A5" s="4" t="inlineStr">
        <is>
          <t>A</t>
        </is>
      </c>
      <c r="B5" s="14" t="n">
        <v>2062</v>
      </c>
      <c r="C5" s="14" t="n">
        <v>1990</v>
      </c>
      <c r="D5" s="14" t="n">
        <v>2112</v>
      </c>
      <c r="E5" s="17" t="n">
        <v>2061</v>
      </c>
      <c r="F5" s="36" t="inlineStr">
        <is>
          <t>n.r.</t>
        </is>
      </c>
      <c r="G5" s="27">
        <f>B5-2048</f>
        <v/>
      </c>
      <c r="H5" s="27">
        <f>D5-C5</f>
        <v/>
      </c>
      <c r="I5" s="14" t="n">
        <v>-1</v>
      </c>
    </row>
    <row r="6">
      <c r="A6" s="4" t="inlineStr">
        <is>
          <t>B</t>
        </is>
      </c>
      <c r="B6" s="14" t="n">
        <v>2054</v>
      </c>
      <c r="C6" s="14" t="n">
        <v>2048</v>
      </c>
      <c r="D6" s="14" t="n">
        <v>2081</v>
      </c>
      <c r="E6" s="37" t="inlineStr">
        <is>
          <t>n.r.</t>
        </is>
      </c>
      <c r="F6" s="38" t="n">
        <v>0.117</v>
      </c>
      <c r="G6" s="27">
        <f>B6-2048</f>
        <v/>
      </c>
      <c r="H6" s="27">
        <f>D6-C6</f>
        <v/>
      </c>
      <c r="I6" s="14" t="n">
        <v>0</v>
      </c>
    </row>
    <row r="7">
      <c r="A7" s="4" t="inlineStr">
        <is>
          <t>C</t>
        </is>
      </c>
      <c r="B7" s="14" t="n">
        <v>2048</v>
      </c>
      <c r="C7" s="14" t="n">
        <v>2048</v>
      </c>
      <c r="D7" s="14" t="n">
        <v>2101</v>
      </c>
      <c r="E7" s="37" t="inlineStr">
        <is>
          <t>n.r.</t>
        </is>
      </c>
      <c r="F7" s="38" t="n">
        <v>0.952</v>
      </c>
      <c r="G7" s="27">
        <f>B7-2048</f>
        <v/>
      </c>
      <c r="H7" s="27">
        <f>D7-C7</f>
        <v/>
      </c>
      <c r="I7" s="14" t="n">
        <v>0</v>
      </c>
    </row>
    <row r="9">
      <c r="A9" s="2" t="inlineStr">
        <is>
          <t>n.r. : non relevé. Police bleue : relevé console ; noire : calcul.</t>
        </is>
      </c>
    </row>
    <row r="11">
      <c r="A11" s="8" t="inlineStr">
        <is>
          <t>Lecture</t>
        </is>
      </c>
    </row>
    <row r="12" ht="30" customHeight="1">
      <c r="A12" s="10" t="inlineStr">
        <is>
          <t>Aucune voie ne descend sous 2048 au repos (sauf A, min 1990), alors qu'en charge elles descendent bien en dessous : ce n'est ni un plancher dur ni un offset ADC configuré.</t>
        </is>
      </c>
    </row>
    <row r="13" ht="30" customHeight="1">
      <c r="A13" s="10" t="inlineStr">
        <is>
          <t>Accumulation exactement sur 2048 : 95,2 % des échantillons de C, 11,7 % de B. Hypothèse non vérifiée : écrêtage de la sortie de l'ampli du DRV8304 à la référence avec un offset d'entrée légèrement négatif.</t>
        </is>
      </c>
    </row>
    <row r="14" ht="30" customHeight="1">
      <c r="A14" s="10" t="inlineStr">
        <is>
          <t>Conséquence : zone morte de quelques counts autour de zéro, surtout sur C. Sans effet sur la limite de surintensité ni sur les étapes 8 et 9 ; à comprendre avant la boucle de courant.</t>
        </is>
      </c>
    </row>
    <row r="15" ht="30" customHeight="1">
      <c r="A15" s="10" t="inlineStr">
        <is>
          <t>Le zéro de fonctionnement est la lecture hors CAL (transistors bas conducteurs), ≈ 16/8/9 counts au-dessus du zéro CAL selon STATUS.md ; il est désormais mesuré ainsi au démarrage.</t>
        </is>
      </c>
    </row>
  </sheetData>
  <mergeCells count="4">
    <mergeCell ref="A15:I15"/>
    <mergeCell ref="A12:I12"/>
    <mergeCell ref="A13:I13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12" customWidth="1" min="7" max="7"/>
    <col width="34" customWidth="1" min="8" max="8"/>
    <col width="16" customWidth="1" min="9" max="9"/>
  </cols>
  <sheetData>
    <row r="1">
      <c r="A1" s="1" t="inlineStr">
        <is>
          <t>Étape 7 — résistance, inductance et échelle absolue du courant</t>
        </is>
      </c>
    </row>
    <row r="2">
      <c r="A2" s="2" t="inlineStr">
        <is>
          <t>Paliers de 10 s sous watchdog, 2026-09-26 ; courants moyens du firmware en counts corrigés (échelle voie C) ; ampèremètre en série avec l'alimentation (relevé console + ampèremètre)</t>
        </is>
      </c>
    </row>
    <row r="4">
      <c r="A4" s="8" t="inlineStr">
        <is>
          <t>Entrées (relevé)</t>
        </is>
      </c>
    </row>
    <row r="5">
      <c r="A5" s="3" t="inlineStr">
        <is>
          <t>Palier</t>
        </is>
      </c>
      <c r="B5" s="3" t="inlineStr">
        <is>
          <t>Duty A (‰)</t>
        </is>
      </c>
      <c r="C5" s="3" t="inlineStr">
        <is>
          <t>Duty B (‰)</t>
        </is>
      </c>
      <c r="D5" s="3" t="inlineStr">
        <is>
          <t>Duty C (‰)</t>
        </is>
      </c>
      <c r="E5" s="3" t="inlineStr">
        <is>
          <t>Ia (counts corr.)</t>
        </is>
      </c>
      <c r="F5" s="3" t="inlineStr">
        <is>
          <t>Ib (counts corr.)</t>
        </is>
      </c>
      <c r="G5" s="3" t="inlineStr">
        <is>
          <t>Ic (counts corr.)</t>
        </is>
      </c>
      <c r="H5" s="3" t="inlineStr">
        <is>
          <t>Σ (counts)</t>
        </is>
      </c>
      <c r="I5" s="3" t="inlineStr">
        <is>
          <t>I alim. ampèremètre (mA)</t>
        </is>
      </c>
    </row>
    <row r="6">
      <c r="A6" s="4" t="inlineStr">
        <is>
          <t>Repos</t>
        </is>
      </c>
      <c r="B6" s="26" t="inlineStr">
        <is>
          <t>—</t>
        </is>
      </c>
      <c r="C6" s="26" t="inlineStr">
        <is>
          <t>—</t>
        </is>
      </c>
      <c r="D6" s="26" t="inlineStr">
        <is>
          <t>—</t>
        </is>
      </c>
      <c r="E6" s="17" t="n">
        <v>3.6</v>
      </c>
      <c r="F6" s="17" t="n">
        <v>0</v>
      </c>
      <c r="G6" s="17" t="n">
        <v>0</v>
      </c>
      <c r="H6" s="18">
        <f>E6+F6+G6</f>
        <v/>
      </c>
      <c r="I6" s="14" t="n">
        <v>30</v>
      </c>
    </row>
    <row r="7">
      <c r="A7" s="4" t="inlineStr">
        <is>
          <t>Palier 1</t>
        </is>
      </c>
      <c r="B7" s="39" t="n">
        <v>600</v>
      </c>
      <c r="C7" s="39" t="n">
        <v>500</v>
      </c>
      <c r="D7" s="39" t="n">
        <v>500</v>
      </c>
      <c r="E7" s="17" t="n">
        <v>124.9</v>
      </c>
      <c r="F7" s="17" t="n">
        <v>-62.9</v>
      </c>
      <c r="G7" s="17" t="n">
        <v>-62</v>
      </c>
      <c r="H7" s="18">
        <f>E7+F7+G7</f>
        <v/>
      </c>
      <c r="I7" s="14" t="n">
        <v>51</v>
      </c>
    </row>
    <row r="8">
      <c r="A8" s="4" t="inlineStr">
        <is>
          <t>Palier 2</t>
        </is>
      </c>
      <c r="B8" s="39" t="n">
        <v>550</v>
      </c>
      <c r="C8" s="39" t="n">
        <v>500</v>
      </c>
      <c r="D8" s="39" t="n">
        <v>500</v>
      </c>
      <c r="E8" s="17" t="n">
        <v>50.2</v>
      </c>
      <c r="F8" s="17" t="n">
        <v>-12.8</v>
      </c>
      <c r="G8" s="17" t="n">
        <v>-24.5</v>
      </c>
      <c r="H8" s="18">
        <f>E8+F8+G8</f>
        <v/>
      </c>
      <c r="I8" s="14" t="n">
        <v>35</v>
      </c>
    </row>
    <row r="10">
      <c r="A10" s="3" t="inlineStr">
        <is>
          <t>Paramètre</t>
        </is>
      </c>
      <c r="B10" s="3" t="inlineStr">
        <is>
          <t>Valeur</t>
        </is>
      </c>
      <c r="C10" s="3" t="inlineStr">
        <is>
          <t>Unité</t>
        </is>
      </c>
      <c r="E10" s="8" t="inlineStr">
        <is>
          <t>Calculs</t>
        </is>
      </c>
    </row>
    <row r="11">
      <c r="A11" s="11" t="inlineStr">
        <is>
          <t>Tension moteur Vmot</t>
        </is>
      </c>
      <c r="B11" s="12" t="n">
        <v>14.8</v>
      </c>
      <c r="C11" s="11" t="inlineStr">
        <is>
          <t>V</t>
        </is>
      </c>
      <c r="E11" s="3" t="inlineStr">
        <is>
          <t>Grandeur</t>
        </is>
      </c>
      <c r="F11" s="3" t="inlineStr">
        <is>
          <t>Valeur</t>
        </is>
      </c>
      <c r="G11" s="3" t="inlineStr">
        <is>
          <t>Unité</t>
        </is>
      </c>
      <c r="H11" s="3" t="inlineStr">
        <is>
          <t>Formule / remarque</t>
        </is>
      </c>
    </row>
    <row r="12">
      <c r="A12" s="11" t="inlineStr">
        <is>
          <t>Gain appliqué voie A</t>
        </is>
      </c>
      <c r="B12" s="14" t="n">
        <v>1195</v>
      </c>
      <c r="C12" s="11" t="inlineStr">
        <is>
          <t>‰</t>
        </is>
      </c>
      <c r="E12" s="11" t="inlineStr">
        <is>
          <t>Écart commandé palier 1</t>
        </is>
      </c>
      <c r="F12" s="15">
        <f>(B7-C7)/1000</f>
        <v/>
      </c>
      <c r="G12" s="11" t="inlineStr">
        <is>
          <t>—</t>
        </is>
      </c>
      <c r="H12" s="11" t="inlineStr">
        <is>
          <t>(duty A − duty B)/1000</t>
        </is>
      </c>
    </row>
    <row r="13">
      <c r="A13" s="11" t="inlineStr">
        <is>
          <t>Gain appliqué voie B</t>
        </is>
      </c>
      <c r="B13" s="14" t="n">
        <v>1822</v>
      </c>
      <c r="C13" s="11" t="inlineStr">
        <is>
          <t>‰</t>
        </is>
      </c>
      <c r="E13" s="11" t="inlineStr">
        <is>
          <t>Écart commandé palier 2</t>
        </is>
      </c>
      <c r="F13" s="15">
        <f>(B8-C8)/1000</f>
        <v/>
      </c>
      <c r="G13" s="11" t="inlineStr">
        <is>
          <t>—</t>
        </is>
      </c>
      <c r="H13" s="11" t="inlineStr"/>
    </row>
    <row r="14">
      <c r="A14" s="11" t="inlineStr">
        <is>
          <t>Gain appliqué voie C</t>
        </is>
      </c>
      <c r="B14" s="14" t="n">
        <v>1000</v>
      </c>
      <c r="C14" s="11" t="inlineStr">
        <is>
          <t>‰</t>
        </is>
      </c>
      <c r="E14" s="11" t="inlineStr">
        <is>
          <t>Rapport des courants Ia1/Ia2</t>
        </is>
      </c>
      <c r="F14" s="28">
        <f>E7/E8</f>
        <v/>
      </c>
      <c r="G14" s="11" t="inlineStr">
        <is>
          <t>—</t>
        </is>
      </c>
      <c r="H14" s="11" t="inlineStr">
        <is>
          <t>lu sur les courants</t>
        </is>
      </c>
    </row>
    <row r="15">
      <c r="A15" s="11" t="inlineStr">
        <is>
          <t>Offset voie A</t>
        </is>
      </c>
      <c r="B15" s="14" t="n">
        <v>2051</v>
      </c>
      <c r="C15" s="11" t="inlineStr">
        <is>
          <t>ADC</t>
        </is>
      </c>
      <c r="E15" s="11" t="inlineStr">
        <is>
          <t>Perte de temps mort δ (fraction de Vbus)</t>
        </is>
      </c>
      <c r="F15" s="15">
        <f>(F14*F13-F12)/(F14-1)</f>
        <v/>
      </c>
      <c r="G15" s="11" t="inlineStr">
        <is>
          <t>—</t>
        </is>
      </c>
      <c r="H15" s="11" t="inlineStr">
        <is>
          <t>(e1−δ)/(e2−δ) = Ia1/Ia2</t>
        </is>
      </c>
    </row>
    <row r="16">
      <c r="A16" s="11" t="inlineStr">
        <is>
          <t>Offset voie B</t>
        </is>
      </c>
      <c r="B16" s="14" t="n">
        <v>2055</v>
      </c>
      <c r="C16" s="11" t="inlineStr">
        <is>
          <t>ADC</t>
        </is>
      </c>
      <c r="E16" s="11" t="inlineStr">
        <is>
          <t>Perte de temps mort en tension</t>
        </is>
      </c>
      <c r="F16" s="16">
        <f>F15*B11</f>
        <v/>
      </c>
      <c r="G16" s="11" t="inlineStr">
        <is>
          <t>V</t>
        </is>
      </c>
      <c r="H16" s="11" t="inlineStr">
        <is>
          <t>δ × Vmot</t>
        </is>
      </c>
    </row>
    <row r="17">
      <c r="A17" s="11" t="inlineStr">
        <is>
          <t>Offset voie C</t>
        </is>
      </c>
      <c r="B17" s="14" t="n">
        <v>2048</v>
      </c>
      <c r="C17" s="11" t="inlineStr">
        <is>
          <t>ADC</t>
        </is>
      </c>
      <c r="E17" s="11" t="inlineStr">
        <is>
          <t>Écart effectif palier 1</t>
        </is>
      </c>
      <c r="F17" s="15">
        <f>F12-F15</f>
        <v/>
      </c>
      <c r="G17" s="11" t="inlineStr">
        <is>
          <t>—</t>
        </is>
      </c>
      <c r="H17" s="11" t="inlineStr">
        <is>
          <t>e1 − δ</t>
        </is>
      </c>
    </row>
    <row r="18">
      <c r="A18" s="11" t="inlineStr">
        <is>
          <t>τ retenu (montée du courant)</t>
        </is>
      </c>
      <c r="B18" s="12" t="n">
        <v>0.3</v>
      </c>
      <c r="C18" s="11" t="inlineStr">
        <is>
          <t>ms</t>
        </is>
      </c>
      <c r="E18" s="11" t="inlineStr">
        <is>
          <t>Écart effectif palier 2</t>
        </is>
      </c>
      <c r="F18" s="15">
        <f>F13-F15</f>
        <v/>
      </c>
      <c r="G18" s="11" t="inlineStr">
        <is>
          <t>—</t>
        </is>
      </c>
      <c r="H18" s="11" t="inlineStr">
        <is>
          <t>e2 − δ</t>
        </is>
      </c>
    </row>
    <row r="19">
      <c r="A19" s="11" t="inlineStr">
        <is>
          <t>Shunt nominal</t>
        </is>
      </c>
      <c r="B19" s="14" t="n">
        <v>10</v>
      </c>
      <c r="C19" s="11" t="inlineStr">
        <is>
          <t>mΩ</t>
        </is>
      </c>
      <c r="E19" s="11" t="inlineStr">
        <is>
          <t>Rapport des écarts effectifs</t>
        </is>
      </c>
      <c r="F19" s="16">
        <f>F17/F18</f>
        <v/>
      </c>
      <c r="G19" s="11" t="inlineStr">
        <is>
          <t>—</t>
        </is>
      </c>
      <c r="H19" s="11" t="inlineStr">
        <is>
          <t>à comparer au rapport des courants</t>
        </is>
      </c>
    </row>
    <row r="20">
      <c r="A20" s="11" t="inlineStr">
        <is>
          <t>Incertitude sur l'échelle (lecture de l'ampèremètre)</t>
        </is>
      </c>
      <c r="B20" s="40" t="n">
        <v>0.15</v>
      </c>
      <c r="C20" s="11" t="inlineStr">
        <is>
          <t>±</t>
        </is>
      </c>
      <c r="E20" s="11" t="inlineStr">
        <is>
          <t>ΔI alim. palier 1 (− repos)</t>
        </is>
      </c>
      <c r="F20" s="27">
        <f>I7-I6</f>
        <v/>
      </c>
      <c r="G20" s="11" t="inlineStr">
        <is>
          <t>mA</t>
        </is>
      </c>
      <c r="H20" s="11" t="inlineStr"/>
    </row>
    <row r="21">
      <c r="E21" s="11" t="inlineStr">
        <is>
          <t>ΔI alim. palier 2 (− repos)</t>
        </is>
      </c>
      <c r="F21" s="27">
        <f>I8-I6</f>
        <v/>
      </c>
      <c r="G21" s="11" t="inlineStr">
        <is>
          <t>mA</t>
        </is>
      </c>
      <c r="H21" s="11" t="inlineStr"/>
    </row>
    <row r="22">
      <c r="E22" s="11" t="inlineStr">
        <is>
          <t>Ia palier 2</t>
        </is>
      </c>
      <c r="F22" s="18">
        <f>(F20-F21)/(F17*F14-F18)</f>
        <v/>
      </c>
      <c r="G22" s="11" t="inlineStr">
        <is>
          <t>mA</t>
        </is>
      </c>
      <c r="H22" s="11" t="inlineStr">
        <is>
          <t>ΔI = e_eff × Ia + Ig, Ia1 = r·Ia2</t>
        </is>
      </c>
    </row>
    <row r="23">
      <c r="E23" s="11" t="inlineStr">
        <is>
          <t>Ia palier 1</t>
        </is>
      </c>
      <c r="F23" s="18">
        <f>F14*F22</f>
        <v/>
      </c>
      <c r="G23" s="11" t="inlineStr">
        <is>
          <t>mA</t>
        </is>
      </c>
      <c r="H23" s="11" t="inlineStr"/>
    </row>
    <row r="24">
      <c r="E24" s="11" t="inlineStr">
        <is>
          <t>Courant de grilles Ig</t>
        </is>
      </c>
      <c r="F24" s="18">
        <f>F21-F18*F22</f>
        <v/>
      </c>
      <c r="G24" s="11" t="inlineStr">
        <is>
          <t>mA</t>
        </is>
      </c>
      <c r="H24" s="11" t="inlineStr"/>
    </row>
    <row r="25">
      <c r="E25" s="11" t="inlineStr">
        <is>
          <t>Échelle absolue (voie C = counts corrigés)</t>
        </is>
      </c>
      <c r="F25" s="41">
        <f>F23/E7</f>
        <v/>
      </c>
      <c r="G25" s="11" t="inlineStr">
        <is>
          <t>mA / count</t>
        </is>
      </c>
      <c r="H25" s="11" t="inlineStr">
        <is>
          <t>Ia1 / Ia1 counts</t>
        </is>
      </c>
    </row>
    <row r="26">
      <c r="E26" s="11" t="inlineStr">
        <is>
          <t>Échelle nominale (20 V/V × 10 mΩ)</t>
        </is>
      </c>
      <c r="F26" s="16">
        <f>Conditions!B25</f>
        <v/>
      </c>
      <c r="G26" s="11" t="inlineStr">
        <is>
          <t>mA / count</t>
        </is>
      </c>
      <c r="H26" s="11" t="inlineStr"/>
    </row>
    <row r="27">
      <c r="E27" s="11" t="inlineStr">
        <is>
          <t>Échelle voie A brute</t>
        </is>
      </c>
      <c r="F27" s="16">
        <f>F25*B12/1000</f>
        <v/>
      </c>
      <c r="G27" s="11" t="inlineStr">
        <is>
          <t>mA / count</t>
        </is>
      </c>
      <c r="H27" s="11" t="inlineStr">
        <is>
          <t>échelle × gain appliqué</t>
        </is>
      </c>
    </row>
    <row r="28">
      <c r="E28" s="11" t="inlineStr">
        <is>
          <t>Échelle voie B brute</t>
        </is>
      </c>
      <c r="F28" s="16">
        <f>F25*B13/1000</f>
        <v/>
      </c>
      <c r="G28" s="11" t="inlineStr">
        <is>
          <t>mA / count</t>
        </is>
      </c>
      <c r="H28" s="11" t="inlineStr"/>
    </row>
    <row r="29">
      <c r="E29" s="11" t="inlineStr">
        <is>
          <t>Échelle voie C brute</t>
        </is>
      </c>
      <c r="F29" s="16">
        <f>F25*B14/1000</f>
        <v/>
      </c>
      <c r="G29" s="11" t="inlineStr">
        <is>
          <t>mA / count</t>
        </is>
      </c>
      <c r="H29" s="11" t="inlineStr"/>
    </row>
    <row r="30">
      <c r="E30" s="11" t="inlineStr">
        <is>
          <t>Sur-lecture voie A</t>
        </is>
      </c>
      <c r="F30" s="16">
        <f>F26/F27</f>
        <v/>
      </c>
      <c r="G30" s="11" t="inlineStr">
        <is>
          <t>×</t>
        </is>
      </c>
      <c r="H30" s="11" t="inlineStr">
        <is>
          <t>nominal / réel</t>
        </is>
      </c>
    </row>
    <row r="31">
      <c r="E31" s="11" t="inlineStr">
        <is>
          <t>Sur-lecture voie B</t>
        </is>
      </c>
      <c r="F31" s="16">
        <f>F26/F28</f>
        <v/>
      </c>
      <c r="G31" s="11" t="inlineStr">
        <is>
          <t>×</t>
        </is>
      </c>
      <c r="H31" s="11" t="inlineStr"/>
    </row>
    <row r="32">
      <c r="E32" s="11" t="inlineStr">
        <is>
          <t>Sur-lecture voie C</t>
        </is>
      </c>
      <c r="F32" s="16">
        <f>F26/F29</f>
        <v/>
      </c>
      <c r="G32" s="11" t="inlineStr">
        <is>
          <t>×</t>
        </is>
      </c>
      <c r="H32" s="11" t="inlineStr"/>
    </row>
    <row r="33">
      <c r="E33" s="11" t="inlineStr">
        <is>
          <t>Shunt équivalent vu, voie A</t>
        </is>
      </c>
      <c r="F33" s="18">
        <f>F30*B19</f>
        <v/>
      </c>
      <c r="G33" s="11" t="inlineStr">
        <is>
          <t>mΩ</t>
        </is>
      </c>
      <c r="H33" s="11" t="inlineStr">
        <is>
          <t>10 mΩ × sur-lecture</t>
        </is>
      </c>
    </row>
    <row r="34">
      <c r="E34" s="11" t="inlineStr">
        <is>
          <t>Shunt équivalent vu, voie B</t>
        </is>
      </c>
      <c r="F34" s="18">
        <f>F31*B19</f>
        <v/>
      </c>
      <c r="G34" s="11" t="inlineStr">
        <is>
          <t>mΩ</t>
        </is>
      </c>
      <c r="H34" s="11" t="inlineStr"/>
    </row>
    <row r="35">
      <c r="E35" s="11" t="inlineStr">
        <is>
          <t>Shunt équivalent vu, voie C</t>
        </is>
      </c>
      <c r="F35" s="18">
        <f>F32*B19</f>
        <v/>
      </c>
      <c r="G35" s="11" t="inlineStr">
        <is>
          <t>mΩ</t>
        </is>
      </c>
      <c r="H35" s="11" t="inlineStr"/>
    </row>
    <row r="36">
      <c r="E36" s="11" t="inlineStr">
        <is>
          <t>ΔV entre paliers</t>
        </is>
      </c>
      <c r="F36" s="16">
        <f>(F12-F13)*B11</f>
        <v/>
      </c>
      <c r="G36" s="11" t="inlineStr">
        <is>
          <t>V</t>
        </is>
      </c>
      <c r="H36" s="11" t="inlineStr">
        <is>
          <t>le temps mort s'annule</t>
        </is>
      </c>
    </row>
    <row r="37">
      <c r="E37" s="11" t="inlineStr">
        <is>
          <t>R entre A et (B∥C)</t>
        </is>
      </c>
      <c r="F37" s="41">
        <f>F36/((F23-F22)/1000)</f>
        <v/>
      </c>
      <c r="G37" s="11" t="inlineStr">
        <is>
          <t>Ω</t>
        </is>
      </c>
      <c r="H37" s="11" t="inlineStr">
        <is>
          <t>ΔV / ΔIa</t>
        </is>
      </c>
    </row>
    <row r="38">
      <c r="E38" s="11" t="inlineStr">
        <is>
          <t>R par phase</t>
        </is>
      </c>
      <c r="F38" s="41">
        <f>F37*2/3</f>
        <v/>
      </c>
      <c r="G38" s="11" t="inlineStr">
        <is>
          <t>Ω</t>
        </is>
      </c>
      <c r="H38" s="11" t="inlineStr">
        <is>
          <t>R_A + R/2 = 1,5 R</t>
        </is>
      </c>
    </row>
    <row r="39">
      <c r="E39" s="11" t="inlineStr">
        <is>
          <t>Puissance fournie au moteur, palier 1</t>
        </is>
      </c>
      <c r="F39" s="28">
        <f>F17*B11*F23/1000</f>
        <v/>
      </c>
      <c r="G39" s="11" t="inlineStr">
        <is>
          <t>W</t>
        </is>
      </c>
      <c r="H39" s="11" t="inlineStr">
        <is>
          <t>e_eff1 × Vmot × Ia1</t>
        </is>
      </c>
    </row>
    <row r="40">
      <c r="E40" s="11" t="inlineStr">
        <is>
          <t>Pertes Joule I²R, palier 1</t>
        </is>
      </c>
      <c r="F40" s="28">
        <f>(F23/1000)^2*F37</f>
        <v/>
      </c>
      <c r="G40" s="11" t="inlineStr">
        <is>
          <t>W</t>
        </is>
      </c>
      <c r="H40" s="11" t="inlineStr">
        <is>
          <t>Ia1² × R_A,B∥C</t>
        </is>
      </c>
    </row>
    <row r="41">
      <c r="E41" s="11" t="inlineStr">
        <is>
          <t>L entre A et (B∥C)</t>
        </is>
      </c>
      <c r="F41" s="41">
        <f>B18/1000*F37*1000</f>
        <v/>
      </c>
      <c r="G41" s="11" t="inlineStr">
        <is>
          <t>mH</t>
        </is>
      </c>
      <c r="H41" s="11" t="inlineStr">
        <is>
          <t>τ × R</t>
        </is>
      </c>
    </row>
    <row r="42">
      <c r="E42" s="11" t="inlineStr">
        <is>
          <t>L par phase</t>
        </is>
      </c>
      <c r="F42" s="41">
        <f>F41*2/3</f>
        <v/>
      </c>
      <c r="G42" s="11" t="inlineStr">
        <is>
          <t>mH</t>
        </is>
      </c>
      <c r="H42" s="11" t="inlineStr">
        <is>
          <t>±25 %</t>
        </is>
      </c>
    </row>
    <row r="43">
      <c r="E43" s="11" t="inlineStr">
        <is>
          <t>Limite de surintensité en courant réel</t>
        </is>
      </c>
      <c r="F43" s="41">
        <f>Conditions!B19*F25/1000</f>
        <v/>
      </c>
      <c r="G43" s="11" t="inlineStr">
        <is>
          <t>A</t>
        </is>
      </c>
      <c r="H43" s="11" t="inlineStr">
        <is>
          <t>500 counts × échelle</t>
        </is>
      </c>
    </row>
    <row r="44">
      <c r="E44" s="11" t="inlineStr">
        <is>
          <t>Ib palier 2 attendu à la zone morte</t>
        </is>
      </c>
      <c r="F44" s="16">
        <f>(2048-B16)*B13/1000</f>
        <v/>
      </c>
      <c r="G44" s="11" t="inlineStr">
        <is>
          <t>counts corr.</t>
        </is>
      </c>
      <c r="H44" s="11" t="inlineStr">
        <is>
          <t>(2048 − offset B) × gain B</t>
        </is>
      </c>
    </row>
    <row r="47">
      <c r="A47" s="8" t="inlineStr">
        <is>
          <t>Lecture</t>
        </is>
      </c>
    </row>
    <row r="48" ht="28" customHeight="1">
      <c r="A48" s="10" t="inlineStr">
        <is>
          <t>Échelle absolue ≈ 1,82 mA par count corrigé (nominal 4,03) : toutes les voies lisent trop haut (A ×1,86, B ×1,22, C ×2,2) — résistances parasites dans le chemin de mesure des shunts. Incertitude ±15 %.</t>
        </is>
      </c>
    </row>
    <row r="49" ht="28" customHeight="1">
      <c r="A49" s="10" t="inlineStr">
        <is>
          <t>La limite de 500 counts vaut ≈ 0,9 A réels (et non 2 A) : plus stricte, sans danger ; non relevée faute de mesure plus précise.</t>
        </is>
      </c>
    </row>
    <row r="50" ht="28" customHeight="1">
      <c r="A50" s="10" t="inlineStr">
        <is>
          <t>R ≈ 5,4 Ω entre A et (B∥C), ≈ 3,6 Ω par phase ; L ≈ 1,6 mH, ≈ 1,1 mH par phase (±25 %). Bilan de puissance fermé : 0,283 W fournis contre 0,28 W en I²R.</t>
        </is>
      </c>
    </row>
    <row r="51" ht="28" customHeight="1">
      <c r="A51" s="10" t="inlineStr">
        <is>
          <t>Palier 2 : somme +12,9 counts, expliquée par Ib bloqué à la zone morte de 2048 ((2048 − 2055) × 1,822 = −12,75).</t>
        </is>
      </c>
    </row>
    <row r="52" ht="28" customHeight="1">
      <c r="A52" s="10" t="inlineStr">
        <is>
          <t>Étape 7 : valeurs plausibles obtenues ; stockage en mémoire non volatile pas encore implémenté.</t>
        </is>
      </c>
    </row>
    <row r="53" ht="28" customHeight="1">
      <c r="A53" s="10" t="inlineStr">
        <is>
          <t>Le ΔI alimentation retire le courant de repos (30 mA) ; Ig est le supplément de courant de grilles dû à la commutation.</t>
        </is>
      </c>
    </row>
    <row r="56">
      <c r="A56" s="8" t="inlineStr">
        <is>
          <t>Montée du courant de phase A — capture step5_600_500_500_50ms_1790433425069.csv (50 µs par point)</t>
        </is>
      </c>
    </row>
    <row r="57">
      <c r="A57" s="3" t="inlineStr">
        <is>
          <t>Paramètre</t>
        </is>
      </c>
      <c r="B57" s="3" t="inlineStr">
        <is>
          <t>Valeur</t>
        </is>
      </c>
      <c r="C57" s="3" t="inlineStr">
        <is>
          <t>Unité</t>
        </is>
      </c>
    </row>
    <row r="58">
      <c r="A58" s="11" t="inlineStr">
        <is>
          <t>Repos ia (moy. 60–100 ms)</t>
        </is>
      </c>
      <c r="B58" s="12" t="n">
        <v>10.55</v>
      </c>
      <c r="C58" s="11" t="inlineStr">
        <is>
          <t>counts</t>
        </is>
      </c>
    </row>
    <row r="59">
      <c r="A59" s="11" t="inlineStr">
        <is>
          <t>Régime ia (moy. 30–50 ms)</t>
        </is>
      </c>
      <c r="B59" s="12" t="n">
        <v>113.87</v>
      </c>
      <c r="C59" s="11" t="inlineStr">
        <is>
          <t>counts</t>
        </is>
      </c>
    </row>
    <row r="60">
      <c r="A60" s="11" t="inlineStr">
        <is>
          <t>Modèle 1 : τ communiqué</t>
        </is>
      </c>
      <c r="B60" s="13" t="n">
        <v>0.344</v>
      </c>
      <c r="C60" s="11" t="inlineStr">
        <is>
          <t>ms</t>
        </is>
      </c>
    </row>
    <row r="61">
      <c r="A61" s="11" t="inlineStr">
        <is>
          <t>Modèle 1 : début t0</t>
        </is>
      </c>
      <c r="B61" s="13" t="n">
        <v>1.9</v>
      </c>
      <c r="C61" s="11" t="inlineStr">
        <is>
          <t>ms</t>
        </is>
      </c>
    </row>
    <row r="62">
      <c r="A62" s="11" t="inlineStr">
        <is>
          <t>Modèle 2 : τ ajusté ici (t0 libre)</t>
        </is>
      </c>
      <c r="B62" s="13" t="n">
        <v>0.288</v>
      </c>
      <c r="C62" s="11" t="inlineStr">
        <is>
          <t>ms</t>
        </is>
      </c>
    </row>
    <row r="63">
      <c r="A63" s="11" t="inlineStr">
        <is>
          <t>Modèle 2 : t0 ajusté</t>
        </is>
      </c>
      <c r="B63" s="13" t="n">
        <v>1.937</v>
      </c>
      <c r="C63" s="11" t="inlineStr">
        <is>
          <t>ms</t>
        </is>
      </c>
    </row>
    <row r="65">
      <c r="A65" s="3" t="inlineStr">
        <is>
          <t>t (ms)</t>
        </is>
      </c>
      <c r="B65" s="3" t="inlineStr">
        <is>
          <t>ia (counts)</t>
        </is>
      </c>
      <c r="C65" s="3" t="inlineStr">
        <is>
          <t>ia normalisé</t>
        </is>
      </c>
      <c r="D65" s="3" t="inlineStr">
        <is>
          <t>Exp. τ = 0,344 ms</t>
        </is>
      </c>
      <c r="E65" s="3" t="inlineStr">
        <is>
          <t>Exp. τ ajusté</t>
        </is>
      </c>
    </row>
    <row r="66">
      <c r="A66" s="16" t="n">
        <v>1.5</v>
      </c>
      <c r="B66" s="27" t="n">
        <v>11</v>
      </c>
      <c r="C66" s="28">
        <f>(B66-$B$58)/($B$59-$B$58)</f>
        <v/>
      </c>
      <c r="D66" s="28">
        <f>IF(A66&lt;$B$61,0,1-EXP(-(A66-$B$61)/$B$60))</f>
        <v/>
      </c>
      <c r="E66" s="28">
        <f>IF(A66&lt;$B$63,0,1-EXP(-(A66-$B$63)/$B$62))</f>
        <v/>
      </c>
    </row>
    <row r="67">
      <c r="A67" s="16" t="n">
        <v>1.55</v>
      </c>
      <c r="B67" s="27" t="n">
        <v>14</v>
      </c>
      <c r="C67" s="28">
        <f>(B67-$B$58)/($B$59-$B$58)</f>
        <v/>
      </c>
      <c r="D67" s="28">
        <f>IF(A67&lt;$B$61,0,1-EXP(-(A67-$B$61)/$B$60))</f>
        <v/>
      </c>
      <c r="E67" s="28">
        <f>IF(A67&lt;$B$63,0,1-EXP(-(A67-$B$63)/$B$62))</f>
        <v/>
      </c>
    </row>
    <row r="68">
      <c r="A68" s="16" t="n">
        <v>1.6</v>
      </c>
      <c r="B68" s="27" t="n">
        <v>13</v>
      </c>
      <c r="C68" s="28">
        <f>(B68-$B$58)/($B$59-$B$58)</f>
        <v/>
      </c>
      <c r="D68" s="28">
        <f>IF(A68&lt;$B$61,0,1-EXP(-(A68-$B$61)/$B$60))</f>
        <v/>
      </c>
      <c r="E68" s="28">
        <f>IF(A68&lt;$B$63,0,1-EXP(-(A68-$B$63)/$B$62))</f>
        <v/>
      </c>
    </row>
    <row r="69">
      <c r="A69" s="16" t="n">
        <v>1.65</v>
      </c>
      <c r="B69" s="27" t="n">
        <v>13</v>
      </c>
      <c r="C69" s="28">
        <f>(B69-$B$58)/($B$59-$B$58)</f>
        <v/>
      </c>
      <c r="D69" s="28">
        <f>IF(A69&lt;$B$61,0,1-EXP(-(A69-$B$61)/$B$60))</f>
        <v/>
      </c>
      <c r="E69" s="28">
        <f>IF(A69&lt;$B$63,0,1-EXP(-(A69-$B$63)/$B$62))</f>
        <v/>
      </c>
    </row>
    <row r="70">
      <c r="A70" s="16" t="n">
        <v>1.7</v>
      </c>
      <c r="B70" s="27" t="n">
        <v>14</v>
      </c>
      <c r="C70" s="28">
        <f>(B70-$B$58)/($B$59-$B$58)</f>
        <v/>
      </c>
      <c r="D70" s="28">
        <f>IF(A70&lt;$B$61,0,1-EXP(-(A70-$B$61)/$B$60))</f>
        <v/>
      </c>
      <c r="E70" s="28">
        <f>IF(A70&lt;$B$63,0,1-EXP(-(A70-$B$63)/$B$62))</f>
        <v/>
      </c>
    </row>
    <row r="71">
      <c r="A71" s="16" t="n">
        <v>1.75</v>
      </c>
      <c r="B71" s="27" t="n">
        <v>12</v>
      </c>
      <c r="C71" s="28">
        <f>(B71-$B$58)/($B$59-$B$58)</f>
        <v/>
      </c>
      <c r="D71" s="28">
        <f>IF(A71&lt;$B$61,0,1-EXP(-(A71-$B$61)/$B$60))</f>
        <v/>
      </c>
      <c r="E71" s="28">
        <f>IF(A71&lt;$B$63,0,1-EXP(-(A71-$B$63)/$B$62))</f>
        <v/>
      </c>
    </row>
    <row r="72">
      <c r="A72" s="16" t="n">
        <v>1.8</v>
      </c>
      <c r="B72" s="27" t="n">
        <v>12</v>
      </c>
      <c r="C72" s="28">
        <f>(B72-$B$58)/($B$59-$B$58)</f>
        <v/>
      </c>
      <c r="D72" s="28">
        <f>IF(A72&lt;$B$61,0,1-EXP(-(A72-$B$61)/$B$60))</f>
        <v/>
      </c>
      <c r="E72" s="28">
        <f>IF(A72&lt;$B$63,0,1-EXP(-(A72-$B$63)/$B$62))</f>
        <v/>
      </c>
    </row>
    <row r="73">
      <c r="A73" s="16" t="n">
        <v>1.85</v>
      </c>
      <c r="B73" s="27" t="n">
        <v>14</v>
      </c>
      <c r="C73" s="28">
        <f>(B73-$B$58)/($B$59-$B$58)</f>
        <v/>
      </c>
      <c r="D73" s="28">
        <f>IF(A73&lt;$B$61,0,1-EXP(-(A73-$B$61)/$B$60))</f>
        <v/>
      </c>
      <c r="E73" s="28">
        <f>IF(A73&lt;$B$63,0,1-EXP(-(A73-$B$63)/$B$62))</f>
        <v/>
      </c>
    </row>
    <row r="74">
      <c r="A74" s="16" t="n">
        <v>1.9</v>
      </c>
      <c r="B74" s="27" t="n">
        <v>7</v>
      </c>
      <c r="C74" s="28">
        <f>(B74-$B$58)/($B$59-$B$58)</f>
        <v/>
      </c>
      <c r="D74" s="28">
        <f>IF(A74&lt;$B$61,0,1-EXP(-(A74-$B$61)/$B$60))</f>
        <v/>
      </c>
      <c r="E74" s="28">
        <f>IF(A74&lt;$B$63,0,1-EXP(-(A74-$B$63)/$B$62))</f>
        <v/>
      </c>
    </row>
    <row r="75">
      <c r="A75" s="16" t="n">
        <v>1.95</v>
      </c>
      <c r="B75" s="27" t="n">
        <v>12</v>
      </c>
      <c r="C75" s="28">
        <f>(B75-$B$58)/($B$59-$B$58)</f>
        <v/>
      </c>
      <c r="D75" s="28">
        <f>IF(A75&lt;$B$61,0,1-EXP(-(A75-$B$61)/$B$60))</f>
        <v/>
      </c>
      <c r="E75" s="28">
        <f>IF(A75&lt;$B$63,0,1-EXP(-(A75-$B$63)/$B$62))</f>
        <v/>
      </c>
    </row>
    <row r="76">
      <c r="A76" s="16" t="n">
        <v>2</v>
      </c>
      <c r="B76" s="27" t="n">
        <v>30</v>
      </c>
      <c r="C76" s="28">
        <f>(B76-$B$58)/($B$59-$B$58)</f>
        <v/>
      </c>
      <c r="D76" s="28">
        <f>IF(A76&lt;$B$61,0,1-EXP(-(A76-$B$61)/$B$60))</f>
        <v/>
      </c>
      <c r="E76" s="28">
        <f>IF(A76&lt;$B$63,0,1-EXP(-(A76-$B$63)/$B$62))</f>
        <v/>
      </c>
    </row>
    <row r="77">
      <c r="A77" s="16" t="n">
        <v>2.05</v>
      </c>
      <c r="B77" s="27" t="n">
        <v>46</v>
      </c>
      <c r="C77" s="28">
        <f>(B77-$B$58)/($B$59-$B$58)</f>
        <v/>
      </c>
      <c r="D77" s="28">
        <f>IF(A77&lt;$B$61,0,1-EXP(-(A77-$B$61)/$B$60))</f>
        <v/>
      </c>
      <c r="E77" s="28">
        <f>IF(A77&lt;$B$63,0,1-EXP(-(A77-$B$63)/$B$62))</f>
        <v/>
      </c>
    </row>
    <row r="78">
      <c r="A78" s="16" t="n">
        <v>2.1</v>
      </c>
      <c r="B78" s="27" t="n">
        <v>58</v>
      </c>
      <c r="C78" s="28">
        <f>(B78-$B$58)/($B$59-$B$58)</f>
        <v/>
      </c>
      <c r="D78" s="28">
        <f>IF(A78&lt;$B$61,0,1-EXP(-(A78-$B$61)/$B$60))</f>
        <v/>
      </c>
      <c r="E78" s="28">
        <f>IF(A78&lt;$B$63,0,1-EXP(-(A78-$B$63)/$B$62))</f>
        <v/>
      </c>
    </row>
    <row r="79">
      <c r="A79" s="16" t="n">
        <v>2.15</v>
      </c>
      <c r="B79" s="27" t="n">
        <v>64</v>
      </c>
      <c r="C79" s="28">
        <f>(B79-$B$58)/($B$59-$B$58)</f>
        <v/>
      </c>
      <c r="D79" s="28">
        <f>IF(A79&lt;$B$61,0,1-EXP(-(A79-$B$61)/$B$60))</f>
        <v/>
      </c>
      <c r="E79" s="28">
        <f>IF(A79&lt;$B$63,0,1-EXP(-(A79-$B$63)/$B$62))</f>
        <v/>
      </c>
    </row>
    <row r="80">
      <c r="A80" s="16" t="n">
        <v>2.2</v>
      </c>
      <c r="B80" s="27" t="n">
        <v>73</v>
      </c>
      <c r="C80" s="28">
        <f>(B80-$B$58)/($B$59-$B$58)</f>
        <v/>
      </c>
      <c r="D80" s="28">
        <f>IF(A80&lt;$B$61,0,1-EXP(-(A80-$B$61)/$B$60))</f>
        <v/>
      </c>
      <c r="E80" s="28">
        <f>IF(A80&lt;$B$63,0,1-EXP(-(A80-$B$63)/$B$62))</f>
        <v/>
      </c>
    </row>
    <row r="81">
      <c r="A81" s="16" t="n">
        <v>2.25</v>
      </c>
      <c r="B81" s="27" t="n">
        <v>80</v>
      </c>
      <c r="C81" s="28">
        <f>(B81-$B$58)/($B$59-$B$58)</f>
        <v/>
      </c>
      <c r="D81" s="28">
        <f>IF(A81&lt;$B$61,0,1-EXP(-(A81-$B$61)/$B$60))</f>
        <v/>
      </c>
      <c r="E81" s="28">
        <f>IF(A81&lt;$B$63,0,1-EXP(-(A81-$B$63)/$B$62))</f>
        <v/>
      </c>
    </row>
    <row r="82">
      <c r="A82" s="16" t="n">
        <v>2.3</v>
      </c>
      <c r="B82" s="27" t="n">
        <v>83</v>
      </c>
      <c r="C82" s="28">
        <f>(B82-$B$58)/($B$59-$B$58)</f>
        <v/>
      </c>
      <c r="D82" s="28">
        <f>IF(A82&lt;$B$61,0,1-EXP(-(A82-$B$61)/$B$60))</f>
        <v/>
      </c>
      <c r="E82" s="28">
        <f>IF(A82&lt;$B$63,0,1-EXP(-(A82-$B$63)/$B$62))</f>
        <v/>
      </c>
    </row>
    <row r="83">
      <c r="A83" s="16" t="n">
        <v>2.35</v>
      </c>
      <c r="B83" s="27" t="n">
        <v>91</v>
      </c>
      <c r="C83" s="28">
        <f>(B83-$B$58)/($B$59-$B$58)</f>
        <v/>
      </c>
      <c r="D83" s="28">
        <f>IF(A83&lt;$B$61,0,1-EXP(-(A83-$B$61)/$B$60))</f>
        <v/>
      </c>
      <c r="E83" s="28">
        <f>IF(A83&lt;$B$63,0,1-EXP(-(A83-$B$63)/$B$62))</f>
        <v/>
      </c>
    </row>
    <row r="84">
      <c r="A84" s="16" t="n">
        <v>2.4</v>
      </c>
      <c r="B84" s="27" t="n">
        <v>94</v>
      </c>
      <c r="C84" s="28">
        <f>(B84-$B$58)/($B$59-$B$58)</f>
        <v/>
      </c>
      <c r="D84" s="28">
        <f>IF(A84&lt;$B$61,0,1-EXP(-(A84-$B$61)/$B$60))</f>
        <v/>
      </c>
      <c r="E84" s="28">
        <f>IF(A84&lt;$B$63,0,1-EXP(-(A84-$B$63)/$B$62))</f>
        <v/>
      </c>
    </row>
    <row r="85">
      <c r="A85" s="16" t="n">
        <v>2.45</v>
      </c>
      <c r="B85" s="27" t="n">
        <v>88</v>
      </c>
      <c r="C85" s="28">
        <f>(B85-$B$58)/($B$59-$B$58)</f>
        <v/>
      </c>
      <c r="D85" s="28">
        <f>IF(A85&lt;$B$61,0,1-EXP(-(A85-$B$61)/$B$60))</f>
        <v/>
      </c>
      <c r="E85" s="28">
        <f>IF(A85&lt;$B$63,0,1-EXP(-(A85-$B$63)/$B$62))</f>
        <v/>
      </c>
    </row>
    <row r="86">
      <c r="A86" s="16" t="n">
        <v>2.5</v>
      </c>
      <c r="B86" s="27" t="n">
        <v>99</v>
      </c>
      <c r="C86" s="28">
        <f>(B86-$B$58)/($B$59-$B$58)</f>
        <v/>
      </c>
      <c r="D86" s="28">
        <f>IF(A86&lt;$B$61,0,1-EXP(-(A86-$B$61)/$B$60))</f>
        <v/>
      </c>
      <c r="E86" s="28">
        <f>IF(A86&lt;$B$63,0,1-EXP(-(A86-$B$63)/$B$62))</f>
        <v/>
      </c>
    </row>
    <row r="87">
      <c r="A87" s="16" t="n">
        <v>2.55</v>
      </c>
      <c r="B87" s="27" t="n">
        <v>100</v>
      </c>
      <c r="C87" s="28">
        <f>(B87-$B$58)/($B$59-$B$58)</f>
        <v/>
      </c>
      <c r="D87" s="28">
        <f>IF(A87&lt;$B$61,0,1-EXP(-(A87-$B$61)/$B$60))</f>
        <v/>
      </c>
      <c r="E87" s="28">
        <f>IF(A87&lt;$B$63,0,1-EXP(-(A87-$B$63)/$B$62))</f>
        <v/>
      </c>
    </row>
    <row r="88">
      <c r="A88" s="16" t="n">
        <v>2.6</v>
      </c>
      <c r="B88" s="27" t="n">
        <v>103</v>
      </c>
      <c r="C88" s="28">
        <f>(B88-$B$58)/($B$59-$B$58)</f>
        <v/>
      </c>
      <c r="D88" s="28">
        <f>IF(A88&lt;$B$61,0,1-EXP(-(A88-$B$61)/$B$60))</f>
        <v/>
      </c>
      <c r="E88" s="28">
        <f>IF(A88&lt;$B$63,0,1-EXP(-(A88-$B$63)/$B$62))</f>
        <v/>
      </c>
    </row>
    <row r="89">
      <c r="A89" s="16" t="n">
        <v>2.65</v>
      </c>
      <c r="B89" s="27" t="n">
        <v>105</v>
      </c>
      <c r="C89" s="28">
        <f>(B89-$B$58)/($B$59-$B$58)</f>
        <v/>
      </c>
      <c r="D89" s="28">
        <f>IF(A89&lt;$B$61,0,1-EXP(-(A89-$B$61)/$B$60))</f>
        <v/>
      </c>
      <c r="E89" s="28">
        <f>IF(A89&lt;$B$63,0,1-EXP(-(A89-$B$63)/$B$62))</f>
        <v/>
      </c>
    </row>
    <row r="90">
      <c r="A90" s="16" t="n">
        <v>2.7</v>
      </c>
      <c r="B90" s="27" t="n">
        <v>105</v>
      </c>
      <c r="C90" s="28">
        <f>(B90-$B$58)/($B$59-$B$58)</f>
        <v/>
      </c>
      <c r="D90" s="28">
        <f>IF(A90&lt;$B$61,0,1-EXP(-(A90-$B$61)/$B$60))</f>
        <v/>
      </c>
      <c r="E90" s="28">
        <f>IF(A90&lt;$B$63,0,1-EXP(-(A90-$B$63)/$B$62))</f>
        <v/>
      </c>
    </row>
    <row r="91">
      <c r="A91" s="16" t="n">
        <v>2.75</v>
      </c>
      <c r="B91" s="27" t="n">
        <v>106</v>
      </c>
      <c r="C91" s="28">
        <f>(B91-$B$58)/($B$59-$B$58)</f>
        <v/>
      </c>
      <c r="D91" s="28">
        <f>IF(A91&lt;$B$61,0,1-EXP(-(A91-$B$61)/$B$60))</f>
        <v/>
      </c>
      <c r="E91" s="28">
        <f>IF(A91&lt;$B$63,0,1-EXP(-(A91-$B$63)/$B$62))</f>
        <v/>
      </c>
    </row>
    <row r="92">
      <c r="A92" s="16" t="n">
        <v>2.8</v>
      </c>
      <c r="B92" s="27" t="n">
        <v>96</v>
      </c>
      <c r="C92" s="28">
        <f>(B92-$B$58)/($B$59-$B$58)</f>
        <v/>
      </c>
      <c r="D92" s="28">
        <f>IF(A92&lt;$B$61,0,1-EXP(-(A92-$B$61)/$B$60))</f>
        <v/>
      </c>
      <c r="E92" s="28">
        <f>IF(A92&lt;$B$63,0,1-EXP(-(A92-$B$63)/$B$62))</f>
        <v/>
      </c>
    </row>
    <row r="93">
      <c r="A93" s="16" t="n">
        <v>2.85</v>
      </c>
      <c r="B93" s="27" t="n">
        <v>109</v>
      </c>
      <c r="C93" s="28">
        <f>(B93-$B$58)/($B$59-$B$58)</f>
        <v/>
      </c>
      <c r="D93" s="28">
        <f>IF(A93&lt;$B$61,0,1-EXP(-(A93-$B$61)/$B$60))</f>
        <v/>
      </c>
      <c r="E93" s="28">
        <f>IF(A93&lt;$B$63,0,1-EXP(-(A93-$B$63)/$B$62))</f>
        <v/>
      </c>
    </row>
    <row r="94">
      <c r="A94" s="16" t="n">
        <v>2.9</v>
      </c>
      <c r="B94" s="27" t="n">
        <v>111</v>
      </c>
      <c r="C94" s="28">
        <f>(B94-$B$58)/($B$59-$B$58)</f>
        <v/>
      </c>
      <c r="D94" s="28">
        <f>IF(A94&lt;$B$61,0,1-EXP(-(A94-$B$61)/$B$60))</f>
        <v/>
      </c>
      <c r="E94" s="28">
        <f>IF(A94&lt;$B$63,0,1-EXP(-(A94-$B$63)/$B$62))</f>
        <v/>
      </c>
    </row>
    <row r="95">
      <c r="A95" s="16" t="n">
        <v>2.95</v>
      </c>
      <c r="B95" s="27" t="n">
        <v>106</v>
      </c>
      <c r="C95" s="28">
        <f>(B95-$B$58)/($B$59-$B$58)</f>
        <v/>
      </c>
      <c r="D95" s="28">
        <f>IF(A95&lt;$B$61,0,1-EXP(-(A95-$B$61)/$B$60))</f>
        <v/>
      </c>
      <c r="E95" s="28">
        <f>IF(A95&lt;$B$63,0,1-EXP(-(A95-$B$63)/$B$62))</f>
        <v/>
      </c>
    </row>
    <row r="96">
      <c r="A96" s="16" t="n">
        <v>3</v>
      </c>
      <c r="B96" s="27" t="n">
        <v>112</v>
      </c>
      <c r="C96" s="28">
        <f>(B96-$B$58)/($B$59-$B$58)</f>
        <v/>
      </c>
      <c r="D96" s="28">
        <f>IF(A96&lt;$B$61,0,1-EXP(-(A96-$B$61)/$B$60))</f>
        <v/>
      </c>
      <c r="E96" s="28">
        <f>IF(A96&lt;$B$63,0,1-EXP(-(A96-$B$63)/$B$62))</f>
        <v/>
      </c>
    </row>
    <row r="97">
      <c r="A97" s="16" t="n">
        <v>3.05</v>
      </c>
      <c r="B97" s="27" t="n">
        <v>113</v>
      </c>
      <c r="C97" s="28">
        <f>(B97-$B$58)/($B$59-$B$58)</f>
        <v/>
      </c>
      <c r="D97" s="28">
        <f>IF(A97&lt;$B$61,0,1-EXP(-(A97-$B$61)/$B$60))</f>
        <v/>
      </c>
      <c r="E97" s="28">
        <f>IF(A97&lt;$B$63,0,1-EXP(-(A97-$B$63)/$B$62))</f>
        <v/>
      </c>
    </row>
    <row r="98">
      <c r="A98" s="16" t="n">
        <v>3.1</v>
      </c>
      <c r="B98" s="27" t="n">
        <v>114</v>
      </c>
      <c r="C98" s="28">
        <f>(B98-$B$58)/($B$59-$B$58)</f>
        <v/>
      </c>
      <c r="D98" s="28">
        <f>IF(A98&lt;$B$61,0,1-EXP(-(A98-$B$61)/$B$60))</f>
        <v/>
      </c>
      <c r="E98" s="28">
        <f>IF(A98&lt;$B$63,0,1-EXP(-(A98-$B$63)/$B$62))</f>
        <v/>
      </c>
    </row>
    <row r="99">
      <c r="A99" s="16" t="n">
        <v>3.15</v>
      </c>
      <c r="B99" s="27" t="n">
        <v>115</v>
      </c>
      <c r="C99" s="28">
        <f>(B99-$B$58)/($B$59-$B$58)</f>
        <v/>
      </c>
      <c r="D99" s="28">
        <f>IF(A99&lt;$B$61,0,1-EXP(-(A99-$B$61)/$B$60))</f>
        <v/>
      </c>
      <c r="E99" s="28">
        <f>IF(A99&lt;$B$63,0,1-EXP(-(A99-$B$63)/$B$62))</f>
        <v/>
      </c>
    </row>
    <row r="100">
      <c r="A100" s="16" t="n">
        <v>3.2</v>
      </c>
      <c r="B100" s="27" t="n">
        <v>114</v>
      </c>
      <c r="C100" s="28">
        <f>(B100-$B$58)/($B$59-$B$58)</f>
        <v/>
      </c>
      <c r="D100" s="28">
        <f>IF(A100&lt;$B$61,0,1-EXP(-(A100-$B$61)/$B$60))</f>
        <v/>
      </c>
      <c r="E100" s="28">
        <f>IF(A100&lt;$B$63,0,1-EXP(-(A100-$B$63)/$B$62))</f>
        <v/>
      </c>
    </row>
    <row r="101">
      <c r="A101" s="16" t="n">
        <v>3.25</v>
      </c>
      <c r="B101" s="27" t="n">
        <v>116</v>
      </c>
      <c r="C101" s="28">
        <f>(B101-$B$58)/($B$59-$B$58)</f>
        <v/>
      </c>
      <c r="D101" s="28">
        <f>IF(A101&lt;$B$61,0,1-EXP(-(A101-$B$61)/$B$60))</f>
        <v/>
      </c>
      <c r="E101" s="28">
        <f>IF(A101&lt;$B$63,0,1-EXP(-(A101-$B$63)/$B$62))</f>
        <v/>
      </c>
    </row>
    <row r="102">
      <c r="A102" s="16" t="n">
        <v>3.3</v>
      </c>
      <c r="B102" s="27" t="n">
        <v>113</v>
      </c>
      <c r="C102" s="28">
        <f>(B102-$B$58)/($B$59-$B$58)</f>
        <v/>
      </c>
      <c r="D102" s="28">
        <f>IF(A102&lt;$B$61,0,1-EXP(-(A102-$B$61)/$B$60))</f>
        <v/>
      </c>
      <c r="E102" s="28">
        <f>IF(A102&lt;$B$63,0,1-EXP(-(A102-$B$63)/$B$62))</f>
        <v/>
      </c>
    </row>
    <row r="103">
      <c r="A103" s="16" t="n">
        <v>3.35</v>
      </c>
      <c r="B103" s="27" t="n">
        <v>114</v>
      </c>
      <c r="C103" s="28">
        <f>(B103-$B$58)/($B$59-$B$58)</f>
        <v/>
      </c>
      <c r="D103" s="28">
        <f>IF(A103&lt;$B$61,0,1-EXP(-(A103-$B$61)/$B$60))</f>
        <v/>
      </c>
      <c r="E103" s="28">
        <f>IF(A103&lt;$B$63,0,1-EXP(-(A103-$B$63)/$B$62))</f>
        <v/>
      </c>
    </row>
    <row r="104">
      <c r="A104" s="16" t="n">
        <v>3.4</v>
      </c>
      <c r="B104" s="27" t="n">
        <v>113</v>
      </c>
      <c r="C104" s="28">
        <f>(B104-$B$58)/($B$59-$B$58)</f>
        <v/>
      </c>
      <c r="D104" s="28">
        <f>IF(A104&lt;$B$61,0,1-EXP(-(A104-$B$61)/$B$60))</f>
        <v/>
      </c>
      <c r="E104" s="28">
        <f>IF(A104&lt;$B$63,0,1-EXP(-(A104-$B$63)/$B$62))</f>
        <v/>
      </c>
    </row>
    <row r="105">
      <c r="A105" s="16" t="n">
        <v>3.45</v>
      </c>
      <c r="B105" s="27" t="n">
        <v>97</v>
      </c>
      <c r="C105" s="28">
        <f>(B105-$B$58)/($B$59-$B$58)</f>
        <v/>
      </c>
      <c r="D105" s="28">
        <f>IF(A105&lt;$B$61,0,1-EXP(-(A105-$B$61)/$B$60))</f>
        <v/>
      </c>
      <c r="E105" s="28">
        <f>IF(A105&lt;$B$63,0,1-EXP(-(A105-$B$63)/$B$62))</f>
        <v/>
      </c>
    </row>
    <row r="106">
      <c r="A106" s="16" t="n">
        <v>3.5</v>
      </c>
      <c r="B106" s="27" t="n">
        <v>110</v>
      </c>
      <c r="C106" s="28">
        <f>(B106-$B$58)/($B$59-$B$58)</f>
        <v/>
      </c>
      <c r="D106" s="28">
        <f>IF(A106&lt;$B$61,0,1-EXP(-(A106-$B$61)/$B$60))</f>
        <v/>
      </c>
      <c r="E106" s="28">
        <f>IF(A106&lt;$B$63,0,1-EXP(-(A106-$B$63)/$B$62))</f>
        <v/>
      </c>
    </row>
    <row r="107">
      <c r="A107" s="16" t="n">
        <v>3.55</v>
      </c>
      <c r="B107" s="27" t="n">
        <v>126</v>
      </c>
      <c r="C107" s="28">
        <f>(B107-$B$58)/($B$59-$B$58)</f>
        <v/>
      </c>
      <c r="D107" s="28">
        <f>IF(A107&lt;$B$61,0,1-EXP(-(A107-$B$61)/$B$60))</f>
        <v/>
      </c>
      <c r="E107" s="28">
        <f>IF(A107&lt;$B$63,0,1-EXP(-(A107-$B$63)/$B$62))</f>
        <v/>
      </c>
    </row>
    <row r="108">
      <c r="A108" s="16" t="n">
        <v>3.6</v>
      </c>
      <c r="B108" s="27" t="n">
        <v>110</v>
      </c>
      <c r="C108" s="28">
        <f>(B108-$B$58)/($B$59-$B$58)</f>
        <v/>
      </c>
      <c r="D108" s="28">
        <f>IF(A108&lt;$B$61,0,1-EXP(-(A108-$B$61)/$B$60))</f>
        <v/>
      </c>
      <c r="E108" s="28">
        <f>IF(A108&lt;$B$63,0,1-EXP(-(A108-$B$63)/$B$62))</f>
        <v/>
      </c>
    </row>
    <row r="109">
      <c r="A109" s="16" t="n">
        <v>3.65</v>
      </c>
      <c r="B109" s="27" t="n">
        <v>116</v>
      </c>
      <c r="C109" s="28">
        <f>(B109-$B$58)/($B$59-$B$58)</f>
        <v/>
      </c>
      <c r="D109" s="28">
        <f>IF(A109&lt;$B$61,0,1-EXP(-(A109-$B$61)/$B$60))</f>
        <v/>
      </c>
      <c r="E109" s="28">
        <f>IF(A109&lt;$B$63,0,1-EXP(-(A109-$B$63)/$B$62))</f>
        <v/>
      </c>
    </row>
    <row r="110">
      <c r="A110" s="16" t="n">
        <v>3.7</v>
      </c>
      <c r="B110" s="27" t="n">
        <v>111</v>
      </c>
      <c r="C110" s="28">
        <f>(B110-$B$58)/($B$59-$B$58)</f>
        <v/>
      </c>
      <c r="D110" s="28">
        <f>IF(A110&lt;$B$61,0,1-EXP(-(A110-$B$61)/$B$60))</f>
        <v/>
      </c>
      <c r="E110" s="28">
        <f>IF(A110&lt;$B$63,0,1-EXP(-(A110-$B$63)/$B$62))</f>
        <v/>
      </c>
    </row>
    <row r="111">
      <c r="A111" s="16" t="n">
        <v>3.75</v>
      </c>
      <c r="B111" s="27" t="n">
        <v>113</v>
      </c>
      <c r="C111" s="28">
        <f>(B111-$B$58)/($B$59-$B$58)</f>
        <v/>
      </c>
      <c r="D111" s="28">
        <f>IF(A111&lt;$B$61,0,1-EXP(-(A111-$B$61)/$B$60))</f>
        <v/>
      </c>
      <c r="E111" s="28">
        <f>IF(A111&lt;$B$63,0,1-EXP(-(A111-$B$63)/$B$62))</f>
        <v/>
      </c>
    </row>
    <row r="112">
      <c r="A112" s="16" t="n">
        <v>3.8</v>
      </c>
      <c r="B112" s="27" t="n">
        <v>115</v>
      </c>
      <c r="C112" s="28">
        <f>(B112-$B$58)/($B$59-$B$58)</f>
        <v/>
      </c>
      <c r="D112" s="28">
        <f>IF(A112&lt;$B$61,0,1-EXP(-(A112-$B$61)/$B$60))</f>
        <v/>
      </c>
      <c r="E112" s="28">
        <f>IF(A112&lt;$B$63,0,1-EXP(-(A112-$B$63)/$B$62))</f>
        <v/>
      </c>
    </row>
    <row r="113">
      <c r="A113" s="16" t="n">
        <v>3.85</v>
      </c>
      <c r="B113" s="27" t="n">
        <v>111</v>
      </c>
      <c r="C113" s="28">
        <f>(B113-$B$58)/($B$59-$B$58)</f>
        <v/>
      </c>
      <c r="D113" s="28">
        <f>IF(A113&lt;$B$61,0,1-EXP(-(A113-$B$61)/$B$60))</f>
        <v/>
      </c>
      <c r="E113" s="28">
        <f>IF(A113&lt;$B$63,0,1-EXP(-(A113-$B$63)/$B$62))</f>
        <v/>
      </c>
    </row>
    <row r="114">
      <c r="A114" s="16" t="n">
        <v>3.9</v>
      </c>
      <c r="B114" s="27" t="n">
        <v>112</v>
      </c>
      <c r="C114" s="28">
        <f>(B114-$B$58)/($B$59-$B$58)</f>
        <v/>
      </c>
      <c r="D114" s="28">
        <f>IF(A114&lt;$B$61,0,1-EXP(-(A114-$B$61)/$B$60))</f>
        <v/>
      </c>
      <c r="E114" s="28">
        <f>IF(A114&lt;$B$63,0,1-EXP(-(A114-$B$63)/$B$62))</f>
        <v/>
      </c>
    </row>
    <row r="115">
      <c r="A115" s="16" t="n">
        <v>3.95</v>
      </c>
      <c r="B115" s="27" t="n">
        <v>111</v>
      </c>
      <c r="C115" s="28">
        <f>(B115-$B$58)/($B$59-$B$58)</f>
        <v/>
      </c>
      <c r="D115" s="28">
        <f>IF(A115&lt;$B$61,0,1-EXP(-(A115-$B$61)/$B$60))</f>
        <v/>
      </c>
      <c r="E115" s="28">
        <f>IF(A115&lt;$B$63,0,1-EXP(-(A115-$B$63)/$B$62))</f>
        <v/>
      </c>
    </row>
    <row r="116">
      <c r="A116" s="16" t="n">
        <v>4</v>
      </c>
      <c r="B116" s="27" t="n">
        <v>115</v>
      </c>
      <c r="C116" s="28">
        <f>(B116-$B$58)/($B$59-$B$58)</f>
        <v/>
      </c>
      <c r="D116" s="28">
        <f>IF(A116&lt;$B$61,0,1-EXP(-(A116-$B$61)/$B$60))</f>
        <v/>
      </c>
      <c r="E116" s="28">
        <f>IF(A116&lt;$B$63,0,1-EXP(-(A116-$B$63)/$B$62))</f>
        <v/>
      </c>
    </row>
    <row r="118">
      <c r="A118" s="2" t="inlineStr">
        <is>
          <t>Fin d'impulsion entre 51,90 et 51,95 ms ⇒ début entre 1,90 et 1,95 ms ⇒ τ entre ≈ 0,27 et 0,34 ms selon t0 ; τ ≈ 0,3 ms retenu.</t>
        </is>
      </c>
    </row>
  </sheetData>
  <mergeCells count="6">
    <mergeCell ref="A50:H50"/>
    <mergeCell ref="A48:H48"/>
    <mergeCell ref="A53:H53"/>
    <mergeCell ref="A51:H51"/>
    <mergeCell ref="A52:H52"/>
    <mergeCell ref="A49:H4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14" customWidth="1" min="4" max="4"/>
    <col width="9" customWidth="1" min="5" max="5"/>
    <col width="10" customWidth="1" min="6" max="6"/>
    <col width="12" customWidth="1" min="7" max="7"/>
    <col width="13" customWidth="1" min="8" max="8"/>
    <col width="12" customWidth="1" min="9" max="9"/>
    <col width="14" customWidth="1" min="10" max="10"/>
    <col width="14" customWidth="1" min="11" max="11"/>
    <col width="26" customWidth="1" min="12" max="12"/>
    <col width="11" customWidth="1" min="13" max="13"/>
    <col width="12" customWidth="1" min="14" max="14"/>
    <col width="11" customWidth="1" min="15" max="15"/>
    <col width="12" customWidth="1" min="16" max="16"/>
  </cols>
  <sheetData>
    <row r="1">
      <c r="A1" s="1" t="inlineStr">
        <is>
          <t>Étapes 9 et 8 — paires de pôles et décalage électrique</t>
        </is>
      </c>
    </row>
    <row r="2">
      <c r="A2" s="2" t="inlineStr">
        <is>
          <t>Champ fixe 200 ms à θe (pas 30°, 2 tours aller puis 2 retour), amplitude 56 ‰ autour de 500 ; θm lu par l'AS5600 à 170 ms (relatif)</t>
        </is>
      </c>
    </row>
    <row r="4" ht="32" customHeight="1">
      <c r="A4" s="3" t="inlineStr">
        <is>
          <t>Pas</t>
        </is>
      </c>
      <c r="B4" s="3" t="inlineStr">
        <is>
          <t>Sens</t>
        </is>
      </c>
      <c r="C4" s="3" t="inlineStr">
        <is>
          <t>θe (°él.)</t>
        </is>
      </c>
      <c r="D4" s="3" t="inlineStr">
        <is>
          <t>θm essai 1 (rad)</t>
        </is>
      </c>
      <c r="E4" s="3" t="inlineStr">
        <is>
          <t>θm essai 1 (°méca)</t>
        </is>
      </c>
      <c r="F4" s="3" t="inlineStr">
        <is>
          <t>θm essai 2 (rad)</t>
        </is>
      </c>
      <c r="G4" s="3" t="inlineStr">
        <is>
          <t>θm essai 2 (°méca)</t>
        </is>
      </c>
      <c r="H4" s="3" t="inlineStr">
        <is>
          <t>θm essai 3 (rad)</t>
        </is>
      </c>
      <c r="I4" s="3" t="inlineStr">
        <is>
          <t>θm essai 3 (°méca)</t>
        </is>
      </c>
      <c r="J4" s="3" t="inlineStr">
        <is>
          <t>θm essai 4 (rad)</t>
        </is>
      </c>
      <c r="K4" s="3" t="inlineStr">
        <is>
          <t>θm essai 4 (°méca)</t>
        </is>
      </c>
      <c r="M4" s="3" t="inlineStr">
        <is>
          <t>θe aller (°él.)</t>
        </is>
      </c>
      <c r="N4" s="3" t="inlineStr">
        <is>
          <t>Essai 1 aller (°méca)</t>
        </is>
      </c>
      <c r="O4" s="3" t="inlineStr">
        <is>
          <t>θe retour (°él.)</t>
        </is>
      </c>
      <c r="P4" s="3" t="inlineStr">
        <is>
          <t>Essai 1 retour (°méca)</t>
        </is>
      </c>
    </row>
    <row r="5">
      <c r="A5" s="26" t="n">
        <v>0</v>
      </c>
      <c r="B5" s="4" t="inlineStr">
        <is>
          <t>aller</t>
        </is>
      </c>
      <c r="C5" s="26" t="n">
        <v>0</v>
      </c>
      <c r="D5" s="28" t="n">
        <v>0.134</v>
      </c>
      <c r="E5" s="16">
        <f>DEGREES(D5)</f>
        <v/>
      </c>
      <c r="F5" s="28" t="n">
        <v>0.128</v>
      </c>
      <c r="G5" s="16">
        <f>DEGREES(F5)</f>
        <v/>
      </c>
      <c r="H5" s="28" t="n">
        <v>0.128</v>
      </c>
      <c r="I5" s="16">
        <f>DEGREES(H5)</f>
        <v/>
      </c>
      <c r="J5" s="28" t="n">
        <v>0</v>
      </c>
      <c r="K5" s="16">
        <f>DEGREES(J5)</f>
        <v/>
      </c>
      <c r="M5" s="27">
        <f>C5</f>
        <v/>
      </c>
      <c r="N5" s="16">
        <f>E5</f>
        <v/>
      </c>
      <c r="O5" s="27">
        <f>C30</f>
        <v/>
      </c>
      <c r="P5" s="16">
        <f>E30</f>
        <v/>
      </c>
    </row>
    <row r="6">
      <c r="A6" s="26" t="n">
        <v>1</v>
      </c>
      <c r="B6" s="4" t="inlineStr">
        <is>
          <t>aller</t>
        </is>
      </c>
      <c r="C6" s="26" t="n">
        <v>30</v>
      </c>
      <c r="D6" s="28" t="n">
        <v>0.058</v>
      </c>
      <c r="E6" s="16">
        <f>DEGREES(D6)</f>
        <v/>
      </c>
      <c r="F6" s="28" t="n">
        <v>0.056</v>
      </c>
      <c r="G6" s="16">
        <f>DEGREES(F6)</f>
        <v/>
      </c>
      <c r="H6" s="28" t="n">
        <v>0.056</v>
      </c>
      <c r="I6" s="16">
        <f>DEGREES(H6)</f>
        <v/>
      </c>
      <c r="J6" s="28" t="n">
        <v>-0.07000000000000001</v>
      </c>
      <c r="K6" s="16">
        <f>DEGREES(J6)</f>
        <v/>
      </c>
      <c r="M6" s="27">
        <f>C6</f>
        <v/>
      </c>
      <c r="N6" s="16">
        <f>E6</f>
        <v/>
      </c>
      <c r="O6" s="27">
        <f>C31</f>
        <v/>
      </c>
      <c r="P6" s="16">
        <f>E31</f>
        <v/>
      </c>
    </row>
    <row r="7">
      <c r="A7" s="26" t="n">
        <v>2</v>
      </c>
      <c r="B7" s="4" t="inlineStr">
        <is>
          <t>aller</t>
        </is>
      </c>
      <c r="C7" s="26" t="n">
        <v>60</v>
      </c>
      <c r="D7" s="28" t="n">
        <v>-0.006</v>
      </c>
      <c r="E7" s="16">
        <f>DEGREES(D7)</f>
        <v/>
      </c>
      <c r="F7" s="28" t="n">
        <v>-0.007</v>
      </c>
      <c r="G7" s="16">
        <f>DEGREES(F7)</f>
        <v/>
      </c>
      <c r="H7" s="28" t="n">
        <v>-0.007</v>
      </c>
      <c r="I7" s="16">
        <f>DEGREES(H7)</f>
        <v/>
      </c>
      <c r="J7" s="28" t="n">
        <v>-0.136</v>
      </c>
      <c r="K7" s="16">
        <f>DEGREES(J7)</f>
        <v/>
      </c>
      <c r="M7" s="27">
        <f>C7</f>
        <v/>
      </c>
      <c r="N7" s="16">
        <f>E7</f>
        <v/>
      </c>
      <c r="O7" s="27">
        <f>C32</f>
        <v/>
      </c>
      <c r="P7" s="16">
        <f>E32</f>
        <v/>
      </c>
    </row>
    <row r="8">
      <c r="A8" s="26" t="n">
        <v>3</v>
      </c>
      <c r="B8" s="4" t="inlineStr">
        <is>
          <t>aller</t>
        </is>
      </c>
      <c r="C8" s="26" t="n">
        <v>90</v>
      </c>
      <c r="D8" s="28" t="n">
        <v>-0.095</v>
      </c>
      <c r="E8" s="16">
        <f>DEGREES(D8)</f>
        <v/>
      </c>
      <c r="F8" s="28" t="n">
        <v>-0.098</v>
      </c>
      <c r="G8" s="16">
        <f>DEGREES(F8)</f>
        <v/>
      </c>
      <c r="H8" s="28" t="n">
        <v>-0.096</v>
      </c>
      <c r="I8" s="16">
        <f>DEGREES(H8)</f>
        <v/>
      </c>
      <c r="J8" s="28" t="n">
        <v>-0.227</v>
      </c>
      <c r="K8" s="16">
        <f>DEGREES(J8)</f>
        <v/>
      </c>
      <c r="M8" s="27">
        <f>C8</f>
        <v/>
      </c>
      <c r="N8" s="16">
        <f>E8</f>
        <v/>
      </c>
      <c r="O8" s="27">
        <f>C33</f>
        <v/>
      </c>
      <c r="P8" s="16">
        <f>E33</f>
        <v/>
      </c>
    </row>
    <row r="9">
      <c r="A9" s="26" t="n">
        <v>4</v>
      </c>
      <c r="B9" s="4" t="inlineStr">
        <is>
          <t>aller</t>
        </is>
      </c>
      <c r="C9" s="26" t="n">
        <v>120</v>
      </c>
      <c r="D9" s="28" t="n">
        <v>-0.158</v>
      </c>
      <c r="E9" s="16">
        <f>DEGREES(D9)</f>
        <v/>
      </c>
      <c r="F9" s="28" t="n">
        <v>-0.159</v>
      </c>
      <c r="G9" s="16">
        <f>DEGREES(F9)</f>
        <v/>
      </c>
      <c r="H9" s="28" t="n">
        <v>-0.161</v>
      </c>
      <c r="I9" s="16">
        <f>DEGREES(H9)</f>
        <v/>
      </c>
      <c r="J9" s="28" t="n">
        <v>-0.288</v>
      </c>
      <c r="K9" s="16">
        <f>DEGREES(J9)</f>
        <v/>
      </c>
      <c r="M9" s="27">
        <f>C9</f>
        <v/>
      </c>
      <c r="N9" s="16">
        <f>E9</f>
        <v/>
      </c>
      <c r="O9" s="27">
        <f>C34</f>
        <v/>
      </c>
      <c r="P9" s="16">
        <f>E34</f>
        <v/>
      </c>
    </row>
    <row r="10">
      <c r="A10" s="26" t="n">
        <v>5</v>
      </c>
      <c r="B10" s="4" t="inlineStr">
        <is>
          <t>aller</t>
        </is>
      </c>
      <c r="C10" s="26" t="n">
        <v>150</v>
      </c>
      <c r="D10" s="28" t="n">
        <v>-0.216</v>
      </c>
      <c r="E10" s="16">
        <f>DEGREES(D10)</f>
        <v/>
      </c>
      <c r="F10" s="28" t="n">
        <v>-0.216</v>
      </c>
      <c r="G10" s="16">
        <f>DEGREES(F10)</f>
        <v/>
      </c>
      <c r="H10" s="28" t="n">
        <v>-0.217</v>
      </c>
      <c r="I10" s="16">
        <f>DEGREES(H10)</f>
        <v/>
      </c>
      <c r="J10" s="28" t="n">
        <v>-0.346</v>
      </c>
      <c r="K10" s="16">
        <f>DEGREES(J10)</f>
        <v/>
      </c>
      <c r="M10" s="27">
        <f>C10</f>
        <v/>
      </c>
      <c r="N10" s="16">
        <f>E10</f>
        <v/>
      </c>
      <c r="O10" s="27">
        <f>C35</f>
        <v/>
      </c>
      <c r="P10" s="16">
        <f>E35</f>
        <v/>
      </c>
    </row>
    <row r="11">
      <c r="A11" s="26" t="n">
        <v>6</v>
      </c>
      <c r="B11" s="4" t="inlineStr">
        <is>
          <t>aller</t>
        </is>
      </c>
      <c r="C11" s="26" t="n">
        <v>180</v>
      </c>
      <c r="D11" s="28" t="n">
        <v>-0.288</v>
      </c>
      <c r="E11" s="16">
        <f>DEGREES(D11)</f>
        <v/>
      </c>
      <c r="F11" s="28" t="n">
        <v>-0.289</v>
      </c>
      <c r="G11" s="16">
        <f>DEGREES(F11)</f>
        <v/>
      </c>
      <c r="H11" s="28" t="n">
        <v>-0.289</v>
      </c>
      <c r="I11" s="16">
        <f>DEGREES(H11)</f>
        <v/>
      </c>
      <c r="J11" s="28" t="n">
        <v>-0.417</v>
      </c>
      <c r="K11" s="16">
        <f>DEGREES(J11)</f>
        <v/>
      </c>
      <c r="M11" s="27">
        <f>C11</f>
        <v/>
      </c>
      <c r="N11" s="16">
        <f>E11</f>
        <v/>
      </c>
      <c r="O11" s="27">
        <f>C36</f>
        <v/>
      </c>
      <c r="P11" s="16">
        <f>E36</f>
        <v/>
      </c>
    </row>
    <row r="12">
      <c r="A12" s="26" t="n">
        <v>7</v>
      </c>
      <c r="B12" s="4" t="inlineStr">
        <is>
          <t>aller</t>
        </is>
      </c>
      <c r="C12" s="26" t="n">
        <v>210</v>
      </c>
      <c r="D12" s="28" t="n">
        <v>-0.388</v>
      </c>
      <c r="E12" s="16">
        <f>DEGREES(D12)</f>
        <v/>
      </c>
      <c r="F12" s="28" t="n">
        <v>-0.389</v>
      </c>
      <c r="G12" s="16">
        <f>DEGREES(F12)</f>
        <v/>
      </c>
      <c r="H12" s="28" t="n">
        <v>-0.389</v>
      </c>
      <c r="I12" s="16">
        <f>DEGREES(H12)</f>
        <v/>
      </c>
      <c r="J12" s="28" t="n">
        <v>-0.518</v>
      </c>
      <c r="K12" s="16">
        <f>DEGREES(J12)</f>
        <v/>
      </c>
      <c r="M12" s="27">
        <f>C12</f>
        <v/>
      </c>
      <c r="N12" s="16">
        <f>E12</f>
        <v/>
      </c>
      <c r="O12" s="27">
        <f>C37</f>
        <v/>
      </c>
      <c r="P12" s="16">
        <f>E37</f>
        <v/>
      </c>
    </row>
    <row r="13">
      <c r="A13" s="26" t="n">
        <v>8</v>
      </c>
      <c r="B13" s="4" t="inlineStr">
        <is>
          <t>aller</t>
        </is>
      </c>
      <c r="C13" s="26" t="n">
        <v>240</v>
      </c>
      <c r="D13" s="28" t="n">
        <v>-0.449</v>
      </c>
      <c r="E13" s="16">
        <f>DEGREES(D13)</f>
        <v/>
      </c>
      <c r="F13" s="28" t="n">
        <v>-0.45</v>
      </c>
      <c r="G13" s="16">
        <f>DEGREES(F13)</f>
        <v/>
      </c>
      <c r="H13" s="28" t="n">
        <v>-0.45</v>
      </c>
      <c r="I13" s="16">
        <f>DEGREES(H13)</f>
        <v/>
      </c>
      <c r="J13" s="28" t="n">
        <v>-0.579</v>
      </c>
      <c r="K13" s="16">
        <f>DEGREES(J13)</f>
        <v/>
      </c>
      <c r="M13" s="27">
        <f>C13</f>
        <v/>
      </c>
      <c r="N13" s="16">
        <f>E13</f>
        <v/>
      </c>
      <c r="O13" s="27">
        <f>C38</f>
        <v/>
      </c>
      <c r="P13" s="16">
        <f>E38</f>
        <v/>
      </c>
    </row>
    <row r="14">
      <c r="A14" s="26" t="n">
        <v>9</v>
      </c>
      <c r="B14" s="4" t="inlineStr">
        <is>
          <t>aller</t>
        </is>
      </c>
      <c r="C14" s="26" t="n">
        <v>270</v>
      </c>
      <c r="D14" s="28" t="n">
        <v>-0.543</v>
      </c>
      <c r="E14" s="16">
        <f>DEGREES(D14)</f>
        <v/>
      </c>
      <c r="F14" s="28" t="n">
        <v>-0.544</v>
      </c>
      <c r="G14" s="16">
        <f>DEGREES(F14)</f>
        <v/>
      </c>
      <c r="H14" s="28" t="n">
        <v>-0.544</v>
      </c>
      <c r="I14" s="16">
        <f>DEGREES(H14)</f>
        <v/>
      </c>
      <c r="J14" s="28" t="n">
        <v>-0.673</v>
      </c>
      <c r="K14" s="16">
        <f>DEGREES(J14)</f>
        <v/>
      </c>
      <c r="M14" s="27">
        <f>C14</f>
        <v/>
      </c>
      <c r="N14" s="16">
        <f>E14</f>
        <v/>
      </c>
      <c r="O14" s="27">
        <f>C39</f>
        <v/>
      </c>
      <c r="P14" s="16">
        <f>E39</f>
        <v/>
      </c>
    </row>
    <row r="15">
      <c r="A15" s="26" t="n">
        <v>10</v>
      </c>
      <c r="B15" s="4" t="inlineStr">
        <is>
          <t>aller</t>
        </is>
      </c>
      <c r="C15" s="26" t="n">
        <v>300</v>
      </c>
      <c r="D15" s="28" t="n">
        <v>-0.619</v>
      </c>
      <c r="E15" s="16">
        <f>DEGREES(D15)</f>
        <v/>
      </c>
      <c r="F15" s="28" t="n">
        <v>-0.621</v>
      </c>
      <c r="G15" s="16">
        <f>DEGREES(F15)</f>
        <v/>
      </c>
      <c r="H15" s="28" t="n">
        <v>-0.621</v>
      </c>
      <c r="I15" s="16">
        <f>DEGREES(H15)</f>
        <v/>
      </c>
      <c r="J15" s="28" t="n">
        <v>-0.75</v>
      </c>
      <c r="K15" s="16">
        <f>DEGREES(J15)</f>
        <v/>
      </c>
      <c r="M15" s="27">
        <f>C15</f>
        <v/>
      </c>
      <c r="N15" s="16">
        <f>E15</f>
        <v/>
      </c>
      <c r="O15" s="27">
        <f>C40</f>
        <v/>
      </c>
      <c r="P15" s="16">
        <f>E40</f>
        <v/>
      </c>
    </row>
    <row r="16">
      <c r="A16" s="26" t="n">
        <v>11</v>
      </c>
      <c r="B16" s="4" t="inlineStr">
        <is>
          <t>aller</t>
        </is>
      </c>
      <c r="C16" s="26" t="n">
        <v>330</v>
      </c>
      <c r="D16" s="28" t="n">
        <v>-0.67</v>
      </c>
      <c r="E16" s="16">
        <f>DEGREES(D16)</f>
        <v/>
      </c>
      <c r="F16" s="28" t="n">
        <v>-0.679</v>
      </c>
      <c r="G16" s="16">
        <f>DEGREES(F16)</f>
        <v/>
      </c>
      <c r="H16" s="28" t="n">
        <v>-0.674</v>
      </c>
      <c r="I16" s="16">
        <f>DEGREES(H16)</f>
        <v/>
      </c>
      <c r="J16" s="28" t="n">
        <v>-0.803</v>
      </c>
      <c r="K16" s="16">
        <f>DEGREES(J16)</f>
        <v/>
      </c>
      <c r="M16" s="27">
        <f>C16</f>
        <v/>
      </c>
      <c r="N16" s="16">
        <f>E16</f>
        <v/>
      </c>
      <c r="O16" s="27">
        <f>C41</f>
        <v/>
      </c>
      <c r="P16" s="16">
        <f>E41</f>
        <v/>
      </c>
    </row>
    <row r="17">
      <c r="A17" s="26" t="n">
        <v>12</v>
      </c>
      <c r="B17" s="4" t="inlineStr">
        <is>
          <t>aller</t>
        </is>
      </c>
      <c r="C17" s="26" t="n">
        <v>360</v>
      </c>
      <c r="D17" s="28" t="n">
        <v>-0.742</v>
      </c>
      <c r="E17" s="16">
        <f>DEGREES(D17)</f>
        <v/>
      </c>
      <c r="F17" s="28" t="n">
        <v>-0.743</v>
      </c>
      <c r="G17" s="16">
        <f>DEGREES(F17)</f>
        <v/>
      </c>
      <c r="H17" s="28" t="n">
        <v>-0.743</v>
      </c>
      <c r="I17" s="16">
        <f>DEGREES(H17)</f>
        <v/>
      </c>
      <c r="J17" s="28" t="n">
        <v>-0.872</v>
      </c>
      <c r="K17" s="16">
        <f>DEGREES(J17)</f>
        <v/>
      </c>
      <c r="M17" s="27">
        <f>C17</f>
        <v/>
      </c>
      <c r="N17" s="16">
        <f>E17</f>
        <v/>
      </c>
      <c r="O17" s="27">
        <f>C42</f>
        <v/>
      </c>
      <c r="P17" s="16">
        <f>E42</f>
        <v/>
      </c>
    </row>
    <row r="18">
      <c r="A18" s="26" t="n">
        <v>13</v>
      </c>
      <c r="B18" s="4" t="inlineStr">
        <is>
          <t>aller</t>
        </is>
      </c>
      <c r="C18" s="26" t="n">
        <v>390</v>
      </c>
      <c r="D18" s="28" t="n">
        <v>-0.845</v>
      </c>
      <c r="E18" s="16">
        <f>DEGREES(D18)</f>
        <v/>
      </c>
      <c r="F18" s="28" t="n">
        <v>-0.848</v>
      </c>
      <c r="G18" s="16">
        <f>DEGREES(F18)</f>
        <v/>
      </c>
      <c r="H18" s="28" t="n">
        <v>-0.848</v>
      </c>
      <c r="I18" s="16">
        <f>DEGREES(H18)</f>
        <v/>
      </c>
      <c r="J18" s="28" t="n">
        <v>-0.975</v>
      </c>
      <c r="K18" s="16">
        <f>DEGREES(J18)</f>
        <v/>
      </c>
      <c r="M18" s="27">
        <f>C18</f>
        <v/>
      </c>
      <c r="N18" s="16">
        <f>E18</f>
        <v/>
      </c>
      <c r="O18" s="27">
        <f>C43</f>
        <v/>
      </c>
      <c r="P18" s="16">
        <f>E43</f>
        <v/>
      </c>
    </row>
    <row r="19">
      <c r="A19" s="26" t="n">
        <v>14</v>
      </c>
      <c r="B19" s="4" t="inlineStr">
        <is>
          <t>aller</t>
        </is>
      </c>
      <c r="C19" s="26" t="n">
        <v>420</v>
      </c>
      <c r="D19" s="28" t="n">
        <v>-0.921</v>
      </c>
      <c r="E19" s="16">
        <f>DEGREES(D19)</f>
        <v/>
      </c>
      <c r="F19" s="28" t="n">
        <v>-0.923</v>
      </c>
      <c r="G19" s="16">
        <f>DEGREES(F19)</f>
        <v/>
      </c>
      <c r="H19" s="28" t="n">
        <v>-0.923</v>
      </c>
      <c r="I19" s="16">
        <f>DEGREES(H19)</f>
        <v/>
      </c>
      <c r="J19" s="28" t="n">
        <v>-1.052</v>
      </c>
      <c r="K19" s="16">
        <f>DEGREES(J19)</f>
        <v/>
      </c>
      <c r="M19" s="27">
        <f>C19</f>
        <v/>
      </c>
      <c r="N19" s="16">
        <f>E19</f>
        <v/>
      </c>
      <c r="O19" s="27">
        <f>C44</f>
        <v/>
      </c>
      <c r="P19" s="16">
        <f>E44</f>
        <v/>
      </c>
    </row>
    <row r="20">
      <c r="A20" s="26" t="n">
        <v>15</v>
      </c>
      <c r="B20" s="4" t="inlineStr">
        <is>
          <t>aller</t>
        </is>
      </c>
      <c r="C20" s="26" t="n">
        <v>450</v>
      </c>
      <c r="D20" s="28" t="n">
        <v>-1.003</v>
      </c>
      <c r="E20" s="16">
        <f>DEGREES(D20)</f>
        <v/>
      </c>
      <c r="F20" s="28" t="n">
        <v>-1.003</v>
      </c>
      <c r="G20" s="16">
        <f>DEGREES(F20)</f>
        <v/>
      </c>
      <c r="H20" s="28" t="n">
        <v>-1.004</v>
      </c>
      <c r="I20" s="16">
        <f>DEGREES(H20)</f>
        <v/>
      </c>
      <c r="J20" s="28" t="n">
        <v>-1.133</v>
      </c>
      <c r="K20" s="16">
        <f>DEGREES(J20)</f>
        <v/>
      </c>
      <c r="M20" s="27">
        <f>C20</f>
        <v/>
      </c>
      <c r="N20" s="16">
        <f>E20</f>
        <v/>
      </c>
      <c r="O20" s="27">
        <f>C45</f>
        <v/>
      </c>
      <c r="P20" s="16">
        <f>E45</f>
        <v/>
      </c>
    </row>
    <row r="21">
      <c r="A21" s="26" t="n">
        <v>16</v>
      </c>
      <c r="B21" s="4" t="inlineStr">
        <is>
          <t>aller</t>
        </is>
      </c>
      <c r="C21" s="26" t="n">
        <v>480</v>
      </c>
      <c r="D21" s="28" t="n">
        <v>-1.081</v>
      </c>
      <c r="E21" s="16">
        <f>DEGREES(D21)</f>
        <v/>
      </c>
      <c r="F21" s="28" t="n">
        <v>-1.084</v>
      </c>
      <c r="G21" s="16">
        <f>DEGREES(F21)</f>
        <v/>
      </c>
      <c r="H21" s="28" t="n">
        <v>-1.082</v>
      </c>
      <c r="I21" s="16">
        <f>DEGREES(H21)</f>
        <v/>
      </c>
      <c r="J21" s="28" t="n">
        <v>-1.211</v>
      </c>
      <c r="K21" s="16">
        <f>DEGREES(J21)</f>
        <v/>
      </c>
      <c r="M21" s="27">
        <f>C21</f>
        <v/>
      </c>
      <c r="N21" s="16">
        <f>E21</f>
        <v/>
      </c>
      <c r="O21" s="27">
        <f>C46</f>
        <v/>
      </c>
      <c r="P21" s="16">
        <f>E46</f>
        <v/>
      </c>
    </row>
    <row r="22">
      <c r="A22" s="26" t="n">
        <v>17</v>
      </c>
      <c r="B22" s="4" t="inlineStr">
        <is>
          <t>aller</t>
        </is>
      </c>
      <c r="C22" s="26" t="n">
        <v>510</v>
      </c>
      <c r="D22" s="28" t="n">
        <v>-1.141</v>
      </c>
      <c r="E22" s="16">
        <f>DEGREES(D22)</f>
        <v/>
      </c>
      <c r="F22" s="28" t="n">
        <v>-1.142</v>
      </c>
      <c r="G22" s="16">
        <f>DEGREES(F22)</f>
        <v/>
      </c>
      <c r="H22" s="28" t="n">
        <v>-1.142</v>
      </c>
      <c r="I22" s="16">
        <f>DEGREES(H22)</f>
        <v/>
      </c>
      <c r="J22" s="28" t="n">
        <v>-1.271</v>
      </c>
      <c r="K22" s="16">
        <f>DEGREES(J22)</f>
        <v/>
      </c>
      <c r="M22" s="27">
        <f>C22</f>
        <v/>
      </c>
      <c r="N22" s="16">
        <f>E22</f>
        <v/>
      </c>
      <c r="O22" s="27">
        <f>C47</f>
        <v/>
      </c>
      <c r="P22" s="16">
        <f>E47</f>
        <v/>
      </c>
    </row>
    <row r="23">
      <c r="A23" s="26" t="n">
        <v>18</v>
      </c>
      <c r="B23" s="4" t="inlineStr">
        <is>
          <t>aller</t>
        </is>
      </c>
      <c r="C23" s="26" t="n">
        <v>540</v>
      </c>
      <c r="D23" s="28" t="n">
        <v>-1.201</v>
      </c>
      <c r="E23" s="16">
        <f>DEGREES(D23)</f>
        <v/>
      </c>
      <c r="F23" s="28" t="n">
        <v>-1.202</v>
      </c>
      <c r="G23" s="16">
        <f>DEGREES(F23)</f>
        <v/>
      </c>
      <c r="H23" s="28" t="n">
        <v>-1.202</v>
      </c>
      <c r="I23" s="16">
        <f>DEGREES(H23)</f>
        <v/>
      </c>
      <c r="J23" s="28" t="n">
        <v>-1.331</v>
      </c>
      <c r="K23" s="16">
        <f>DEGREES(J23)</f>
        <v/>
      </c>
      <c r="M23" s="27">
        <f>C23</f>
        <v/>
      </c>
      <c r="N23" s="16">
        <f>E23</f>
        <v/>
      </c>
      <c r="O23" s="27">
        <f>C48</f>
        <v/>
      </c>
      <c r="P23" s="16">
        <f>E48</f>
        <v/>
      </c>
    </row>
    <row r="24">
      <c r="A24" s="26" t="n">
        <v>19</v>
      </c>
      <c r="B24" s="4" t="inlineStr">
        <is>
          <t>aller</t>
        </is>
      </c>
      <c r="C24" s="26" t="n">
        <v>570</v>
      </c>
      <c r="D24" s="28" t="n">
        <v>-1.293</v>
      </c>
      <c r="E24" s="16">
        <f>DEGREES(D24)</f>
        <v/>
      </c>
      <c r="F24" s="28" t="n">
        <v>-1.294</v>
      </c>
      <c r="G24" s="16">
        <f>DEGREES(F24)</f>
        <v/>
      </c>
      <c r="H24" s="28" t="n">
        <v>-1.294</v>
      </c>
      <c r="I24" s="16">
        <f>DEGREES(H24)</f>
        <v/>
      </c>
      <c r="J24" s="28" t="n">
        <v>-1.423</v>
      </c>
      <c r="K24" s="16">
        <f>DEGREES(J24)</f>
        <v/>
      </c>
      <c r="M24" s="27">
        <f>C24</f>
        <v/>
      </c>
      <c r="N24" s="16">
        <f>E24</f>
        <v/>
      </c>
      <c r="O24" s="27">
        <f>C49</f>
        <v/>
      </c>
      <c r="P24" s="16">
        <f>E49</f>
        <v/>
      </c>
    </row>
    <row r="25">
      <c r="A25" s="26" t="n">
        <v>20</v>
      </c>
      <c r="B25" s="4" t="inlineStr">
        <is>
          <t>aller</t>
        </is>
      </c>
      <c r="C25" s="26" t="n">
        <v>600</v>
      </c>
      <c r="D25" s="28" t="n">
        <v>-1.365</v>
      </c>
      <c r="E25" s="16">
        <f>DEGREES(D25)</f>
        <v/>
      </c>
      <c r="F25" s="28" t="n">
        <v>-1.365</v>
      </c>
      <c r="G25" s="16">
        <f>DEGREES(F25)</f>
        <v/>
      </c>
      <c r="H25" s="28" t="n">
        <v>-1.365</v>
      </c>
      <c r="I25" s="16">
        <f>DEGREES(H25)</f>
        <v/>
      </c>
      <c r="J25" s="28" t="n">
        <v>-1.494</v>
      </c>
      <c r="K25" s="16">
        <f>DEGREES(J25)</f>
        <v/>
      </c>
      <c r="M25" s="27">
        <f>C25</f>
        <v/>
      </c>
      <c r="N25" s="16">
        <f>E25</f>
        <v/>
      </c>
      <c r="O25" s="27">
        <f>C50</f>
        <v/>
      </c>
      <c r="P25" s="16">
        <f>E50</f>
        <v/>
      </c>
    </row>
    <row r="26">
      <c r="A26" s="26" t="n">
        <v>21</v>
      </c>
      <c r="B26" s="4" t="inlineStr">
        <is>
          <t>aller</t>
        </is>
      </c>
      <c r="C26" s="26" t="n">
        <v>630</v>
      </c>
      <c r="D26" s="28" t="n">
        <v>-1.457</v>
      </c>
      <c r="E26" s="16">
        <f>DEGREES(D26)</f>
        <v/>
      </c>
      <c r="F26" s="28" t="n">
        <v>-1.457</v>
      </c>
      <c r="G26" s="16">
        <f>DEGREES(F26)</f>
        <v/>
      </c>
      <c r="H26" s="28" t="n">
        <v>-1.457</v>
      </c>
      <c r="I26" s="16">
        <f>DEGREES(H26)</f>
        <v/>
      </c>
      <c r="J26" s="28" t="n">
        <v>-1.586</v>
      </c>
      <c r="K26" s="16">
        <f>DEGREES(J26)</f>
        <v/>
      </c>
      <c r="M26" s="27">
        <f>C26</f>
        <v/>
      </c>
      <c r="N26" s="16">
        <f>E26</f>
        <v/>
      </c>
      <c r="O26" s="27">
        <f>C51</f>
        <v/>
      </c>
      <c r="P26" s="16">
        <f>E51</f>
        <v/>
      </c>
    </row>
    <row r="27">
      <c r="A27" s="26" t="n">
        <v>22</v>
      </c>
      <c r="B27" s="4" t="inlineStr">
        <is>
          <t>aller</t>
        </is>
      </c>
      <c r="C27" s="26" t="n">
        <v>660</v>
      </c>
      <c r="D27" s="28" t="n">
        <v>-1.517</v>
      </c>
      <c r="E27" s="16">
        <f>DEGREES(D27)</f>
        <v/>
      </c>
      <c r="F27" s="28" t="n">
        <v>-1.518</v>
      </c>
      <c r="G27" s="16">
        <f>DEGREES(F27)</f>
        <v/>
      </c>
      <c r="H27" s="28" t="n">
        <v>-1.52</v>
      </c>
      <c r="I27" s="16">
        <f>DEGREES(H27)</f>
        <v/>
      </c>
      <c r="J27" s="28" t="n">
        <v>-1.649</v>
      </c>
      <c r="K27" s="16">
        <f>DEGREES(J27)</f>
        <v/>
      </c>
      <c r="M27" s="27">
        <f>C27</f>
        <v/>
      </c>
      <c r="N27" s="16">
        <f>E27</f>
        <v/>
      </c>
      <c r="O27" s="27">
        <f>C52</f>
        <v/>
      </c>
      <c r="P27" s="16">
        <f>E52</f>
        <v/>
      </c>
    </row>
    <row r="28">
      <c r="A28" s="26" t="n">
        <v>23</v>
      </c>
      <c r="B28" s="4" t="inlineStr">
        <is>
          <t>aller</t>
        </is>
      </c>
      <c r="C28" s="26" t="n">
        <v>690</v>
      </c>
      <c r="D28" s="28" t="n">
        <v>-1.57</v>
      </c>
      <c r="E28" s="16">
        <f>DEGREES(D28)</f>
        <v/>
      </c>
      <c r="F28" s="28" t="n">
        <v>-1.572</v>
      </c>
      <c r="G28" s="16">
        <f>DEGREES(F28)</f>
        <v/>
      </c>
      <c r="H28" s="28" t="n">
        <v>-1.572</v>
      </c>
      <c r="I28" s="16">
        <f>DEGREES(H28)</f>
        <v/>
      </c>
      <c r="J28" s="28" t="n">
        <v>-1.701</v>
      </c>
      <c r="K28" s="16">
        <f>DEGREES(J28)</f>
        <v/>
      </c>
      <c r="M28" s="27">
        <f>C28</f>
        <v/>
      </c>
      <c r="N28" s="16">
        <f>E28</f>
        <v/>
      </c>
      <c r="O28" s="27">
        <f>C53</f>
        <v/>
      </c>
      <c r="P28" s="16">
        <f>E53</f>
        <v/>
      </c>
    </row>
    <row r="29">
      <c r="A29" s="26" t="n">
        <v>24</v>
      </c>
      <c r="B29" s="4" t="inlineStr">
        <is>
          <t>aller</t>
        </is>
      </c>
      <c r="C29" s="26" t="n">
        <v>720</v>
      </c>
      <c r="D29" s="28" t="n">
        <v>-1.649</v>
      </c>
      <c r="E29" s="16">
        <f>DEGREES(D29)</f>
        <v/>
      </c>
      <c r="F29" s="28" t="n">
        <v>-1.65</v>
      </c>
      <c r="G29" s="16">
        <f>DEGREES(F29)</f>
        <v/>
      </c>
      <c r="H29" s="28" t="n">
        <v>-1.65</v>
      </c>
      <c r="I29" s="16">
        <f>DEGREES(H29)</f>
        <v/>
      </c>
      <c r="J29" s="28" t="n">
        <v>-1.779</v>
      </c>
      <c r="K29" s="16">
        <f>DEGREES(J29)</f>
        <v/>
      </c>
      <c r="M29" s="27">
        <f>C29</f>
        <v/>
      </c>
      <c r="N29" s="16">
        <f>E29</f>
        <v/>
      </c>
    </row>
    <row r="30">
      <c r="A30" s="26" t="n">
        <v>25</v>
      </c>
      <c r="B30" s="4" t="inlineStr">
        <is>
          <t>retour</t>
        </is>
      </c>
      <c r="C30" s="26" t="n">
        <v>690</v>
      </c>
      <c r="D30" s="28" t="n">
        <v>-1.573</v>
      </c>
      <c r="E30" s="16">
        <f>DEGREES(D30)</f>
        <v/>
      </c>
      <c r="F30" s="28" t="n">
        <v>-1.575</v>
      </c>
      <c r="G30" s="16">
        <f>DEGREES(F30)</f>
        <v/>
      </c>
      <c r="H30" s="28" t="n">
        <v>-1.575</v>
      </c>
      <c r="I30" s="16">
        <f>DEGREES(H30)</f>
        <v/>
      </c>
      <c r="J30" s="28" t="n">
        <v>-1.704</v>
      </c>
      <c r="K30" s="16">
        <f>DEGREES(J30)</f>
        <v/>
      </c>
    </row>
    <row r="31">
      <c r="A31" s="26" t="n">
        <v>26</v>
      </c>
      <c r="B31" s="4" t="inlineStr">
        <is>
          <t>retour</t>
        </is>
      </c>
      <c r="C31" s="26" t="n">
        <v>660</v>
      </c>
      <c r="D31" s="28" t="n">
        <v>-1.521</v>
      </c>
      <c r="E31" s="16">
        <f>DEGREES(D31)</f>
        <v/>
      </c>
      <c r="F31" s="28" t="n">
        <v>-1.523</v>
      </c>
      <c r="G31" s="16">
        <f>DEGREES(F31)</f>
        <v/>
      </c>
      <c r="H31" s="28" t="n">
        <v>-1.523</v>
      </c>
      <c r="I31" s="16">
        <f>DEGREES(H31)</f>
        <v/>
      </c>
      <c r="J31" s="28" t="n">
        <v>-1.652</v>
      </c>
      <c r="K31" s="16">
        <f>DEGREES(J31)</f>
        <v/>
      </c>
    </row>
    <row r="32">
      <c r="A32" s="26" t="n">
        <v>27</v>
      </c>
      <c r="B32" s="4" t="inlineStr">
        <is>
          <t>retour</t>
        </is>
      </c>
      <c r="C32" s="26" t="n">
        <v>630</v>
      </c>
      <c r="D32" s="28" t="n">
        <v>-1.457</v>
      </c>
      <c r="E32" s="16">
        <f>DEGREES(D32)</f>
        <v/>
      </c>
      <c r="F32" s="28" t="n">
        <v>-1.46</v>
      </c>
      <c r="G32" s="16">
        <f>DEGREES(F32)</f>
        <v/>
      </c>
      <c r="H32" s="28" t="n">
        <v>-1.46</v>
      </c>
      <c r="I32" s="16">
        <f>DEGREES(H32)</f>
        <v/>
      </c>
      <c r="J32" s="28" t="n">
        <v>-1.587</v>
      </c>
      <c r="K32" s="16">
        <f>DEGREES(J32)</f>
        <v/>
      </c>
    </row>
    <row r="33">
      <c r="A33" s="26" t="n">
        <v>28</v>
      </c>
      <c r="B33" s="4" t="inlineStr">
        <is>
          <t>retour</t>
        </is>
      </c>
      <c r="C33" s="26" t="n">
        <v>600</v>
      </c>
      <c r="D33" s="28" t="n">
        <v>-1.365</v>
      </c>
      <c r="E33" s="16">
        <f>DEGREES(D33)</f>
        <v/>
      </c>
      <c r="F33" s="28" t="n">
        <v>-1.366</v>
      </c>
      <c r="G33" s="16">
        <f>DEGREES(F33)</f>
        <v/>
      </c>
      <c r="H33" s="28" t="n">
        <v>-1.366</v>
      </c>
      <c r="I33" s="16">
        <f>DEGREES(H33)</f>
        <v/>
      </c>
      <c r="J33" s="28" t="n">
        <v>-1.495</v>
      </c>
      <c r="K33" s="16">
        <f>DEGREES(J33)</f>
        <v/>
      </c>
    </row>
    <row r="34">
      <c r="A34" s="26" t="n">
        <v>29</v>
      </c>
      <c r="B34" s="4" t="inlineStr">
        <is>
          <t>retour</t>
        </is>
      </c>
      <c r="C34" s="26" t="n">
        <v>570</v>
      </c>
      <c r="D34" s="28" t="n">
        <v>-1.294</v>
      </c>
      <c r="E34" s="16">
        <f>DEGREES(D34)</f>
        <v/>
      </c>
      <c r="F34" s="28" t="n">
        <v>-1.296</v>
      </c>
      <c r="G34" s="16">
        <f>DEGREES(F34)</f>
        <v/>
      </c>
      <c r="H34" s="28" t="n">
        <v>-1.296</v>
      </c>
      <c r="I34" s="16">
        <f>DEGREES(H34)</f>
        <v/>
      </c>
      <c r="J34" s="28" t="n">
        <v>-1.425</v>
      </c>
      <c r="K34" s="16">
        <f>DEGREES(J34)</f>
        <v/>
      </c>
    </row>
    <row r="35">
      <c r="A35" s="26" t="n">
        <v>30</v>
      </c>
      <c r="B35" s="4" t="inlineStr">
        <is>
          <t>retour</t>
        </is>
      </c>
      <c r="C35" s="26" t="n">
        <v>540</v>
      </c>
      <c r="D35" s="28" t="n">
        <v>-1.204</v>
      </c>
      <c r="E35" s="16">
        <f>DEGREES(D35)</f>
        <v/>
      </c>
      <c r="F35" s="28" t="n">
        <v>-1.205</v>
      </c>
      <c r="G35" s="16">
        <f>DEGREES(F35)</f>
        <v/>
      </c>
      <c r="H35" s="28" t="n">
        <v>-1.205</v>
      </c>
      <c r="I35" s="16">
        <f>DEGREES(H35)</f>
        <v/>
      </c>
      <c r="J35" s="28" t="n">
        <v>-1.334</v>
      </c>
      <c r="K35" s="16">
        <f>DEGREES(J35)</f>
        <v/>
      </c>
    </row>
    <row r="36">
      <c r="A36" s="26" t="n">
        <v>31</v>
      </c>
      <c r="B36" s="4" t="inlineStr">
        <is>
          <t>retour</t>
        </is>
      </c>
      <c r="C36" s="26" t="n">
        <v>510</v>
      </c>
      <c r="D36" s="28" t="n">
        <v>-1.142</v>
      </c>
      <c r="E36" s="16">
        <f>DEGREES(D36)</f>
        <v/>
      </c>
      <c r="F36" s="28" t="n">
        <v>-1.144</v>
      </c>
      <c r="G36" s="16">
        <f>DEGREES(F36)</f>
        <v/>
      </c>
      <c r="H36" s="28" t="n">
        <v>-1.144</v>
      </c>
      <c r="I36" s="16">
        <f>DEGREES(H36)</f>
        <v/>
      </c>
      <c r="J36" s="28" t="n">
        <v>-1.271</v>
      </c>
      <c r="K36" s="16">
        <f>DEGREES(J36)</f>
        <v/>
      </c>
    </row>
    <row r="37">
      <c r="A37" s="26" t="n">
        <v>32</v>
      </c>
      <c r="B37" s="4" t="inlineStr">
        <is>
          <t>retour</t>
        </is>
      </c>
      <c r="C37" s="26" t="n">
        <v>480</v>
      </c>
      <c r="D37" s="28" t="n">
        <v>-1.086</v>
      </c>
      <c r="E37" s="16">
        <f>DEGREES(D37)</f>
        <v/>
      </c>
      <c r="F37" s="28" t="n">
        <v>-1.086</v>
      </c>
      <c r="G37" s="16">
        <f>DEGREES(F37)</f>
        <v/>
      </c>
      <c r="H37" s="28" t="n">
        <v>-1.087</v>
      </c>
      <c r="I37" s="16">
        <f>DEGREES(H37)</f>
        <v/>
      </c>
      <c r="J37" s="28" t="n">
        <v>-1.214</v>
      </c>
      <c r="K37" s="16">
        <f>DEGREES(J37)</f>
        <v/>
      </c>
    </row>
    <row r="38">
      <c r="A38" s="26" t="n">
        <v>33</v>
      </c>
      <c r="B38" s="4" t="inlineStr">
        <is>
          <t>retour</t>
        </is>
      </c>
      <c r="C38" s="26" t="n">
        <v>450</v>
      </c>
      <c r="D38" s="28" t="n">
        <v>-1.004</v>
      </c>
      <c r="E38" s="16">
        <f>DEGREES(D38)</f>
        <v/>
      </c>
      <c r="F38" s="28" t="n">
        <v>-1.006</v>
      </c>
      <c r="G38" s="16">
        <f>DEGREES(F38)</f>
        <v/>
      </c>
      <c r="H38" s="28" t="n">
        <v>-1.006</v>
      </c>
      <c r="I38" s="16">
        <f>DEGREES(H38)</f>
        <v/>
      </c>
      <c r="J38" s="28" t="n">
        <v>-1.135</v>
      </c>
      <c r="K38" s="16">
        <f>DEGREES(J38)</f>
        <v/>
      </c>
    </row>
    <row r="39">
      <c r="A39" s="26" t="n">
        <v>34</v>
      </c>
      <c r="B39" s="4" t="inlineStr">
        <is>
          <t>retour</t>
        </is>
      </c>
      <c r="C39" s="26" t="n">
        <v>420</v>
      </c>
      <c r="D39" s="28" t="n">
        <v>-0.926</v>
      </c>
      <c r="E39" s="16">
        <f>DEGREES(D39)</f>
        <v/>
      </c>
      <c r="F39" s="28" t="n">
        <v>-0.926</v>
      </c>
      <c r="G39" s="16">
        <f>DEGREES(F39)</f>
        <v/>
      </c>
      <c r="H39" s="28" t="n">
        <v>-0.926</v>
      </c>
      <c r="I39" s="16">
        <f>DEGREES(H39)</f>
        <v/>
      </c>
      <c r="J39" s="28" t="n">
        <v>-1.055</v>
      </c>
      <c r="K39" s="16">
        <f>DEGREES(J39)</f>
        <v/>
      </c>
    </row>
    <row r="40">
      <c r="A40" s="26" t="n">
        <v>35</v>
      </c>
      <c r="B40" s="4" t="inlineStr">
        <is>
          <t>retour</t>
        </is>
      </c>
      <c r="C40" s="26" t="n">
        <v>390</v>
      </c>
      <c r="D40" s="28" t="n">
        <v>-0.846</v>
      </c>
      <c r="E40" s="16">
        <f>DEGREES(D40)</f>
        <v/>
      </c>
      <c r="F40" s="28" t="n">
        <v>-0.848</v>
      </c>
      <c r="G40" s="16">
        <f>DEGREES(F40)</f>
        <v/>
      </c>
      <c r="H40" s="28" t="n">
        <v>-0.848</v>
      </c>
      <c r="I40" s="16">
        <f>DEGREES(H40)</f>
        <v/>
      </c>
      <c r="J40" s="28" t="n">
        <v>-0.977</v>
      </c>
      <c r="K40" s="16">
        <f>DEGREES(J40)</f>
        <v/>
      </c>
    </row>
    <row r="41">
      <c r="A41" s="26" t="n">
        <v>36</v>
      </c>
      <c r="B41" s="4" t="inlineStr">
        <is>
          <t>retour</t>
        </is>
      </c>
      <c r="C41" s="26" t="n">
        <v>360</v>
      </c>
      <c r="D41" s="28" t="n">
        <v>-0.745</v>
      </c>
      <c r="E41" s="16">
        <f>DEGREES(D41)</f>
        <v/>
      </c>
      <c r="F41" s="28" t="n">
        <v>-0.747</v>
      </c>
      <c r="G41" s="16">
        <f>DEGREES(F41)</f>
        <v/>
      </c>
      <c r="H41" s="28" t="n">
        <v>-0.747</v>
      </c>
      <c r="I41" s="16">
        <f>DEGREES(H41)</f>
        <v/>
      </c>
      <c r="J41" s="28" t="n">
        <v>-0.875</v>
      </c>
      <c r="K41" s="16">
        <f>DEGREES(J41)</f>
        <v/>
      </c>
    </row>
    <row r="42">
      <c r="A42" s="26" t="n">
        <v>37</v>
      </c>
      <c r="B42" s="4" t="inlineStr">
        <is>
          <t>retour</t>
        </is>
      </c>
      <c r="C42" s="26" t="n">
        <v>330</v>
      </c>
      <c r="D42" s="28" t="n">
        <v>-0.674</v>
      </c>
      <c r="E42" s="16">
        <f>DEGREES(D42)</f>
        <v/>
      </c>
      <c r="F42" s="28" t="n">
        <v>-0.676</v>
      </c>
      <c r="G42" s="16">
        <f>DEGREES(F42)</f>
        <v/>
      </c>
      <c r="H42" s="28" t="n">
        <v>-0.678</v>
      </c>
      <c r="I42" s="16">
        <f>DEGREES(H42)</f>
        <v/>
      </c>
      <c r="J42" s="28" t="n">
        <v>-0.805</v>
      </c>
      <c r="K42" s="16">
        <f>DEGREES(J42)</f>
        <v/>
      </c>
    </row>
    <row r="43">
      <c r="A43" s="26" t="n">
        <v>38</v>
      </c>
      <c r="B43" s="4" t="inlineStr">
        <is>
          <t>retour</t>
        </is>
      </c>
      <c r="C43" s="26" t="n">
        <v>300</v>
      </c>
      <c r="D43" s="28" t="n">
        <v>-0.625</v>
      </c>
      <c r="E43" s="16">
        <f>DEGREES(D43)</f>
        <v/>
      </c>
      <c r="F43" s="28" t="n">
        <v>-0.627</v>
      </c>
      <c r="G43" s="16">
        <f>DEGREES(F43)</f>
        <v/>
      </c>
      <c r="H43" s="28" t="n">
        <v>-0.627</v>
      </c>
      <c r="I43" s="16">
        <f>DEGREES(H43)</f>
        <v/>
      </c>
      <c r="J43" s="28" t="n">
        <v>-0.756</v>
      </c>
      <c r="K43" s="16">
        <f>DEGREES(J43)</f>
        <v/>
      </c>
    </row>
    <row r="44">
      <c r="A44" s="26" t="n">
        <v>39</v>
      </c>
      <c r="B44" s="4" t="inlineStr">
        <is>
          <t>retour</t>
        </is>
      </c>
      <c r="C44" s="26" t="n">
        <v>270</v>
      </c>
      <c r="D44" s="28" t="n">
        <v>-0.544</v>
      </c>
      <c r="E44" s="16">
        <f>DEGREES(D44)</f>
        <v/>
      </c>
      <c r="F44" s="28" t="n">
        <v>-0.546</v>
      </c>
      <c r="G44" s="16">
        <f>DEGREES(F44)</f>
        <v/>
      </c>
      <c r="H44" s="28" t="n">
        <v>-0.546</v>
      </c>
      <c r="I44" s="16">
        <f>DEGREES(H44)</f>
        <v/>
      </c>
      <c r="J44" s="28" t="n">
        <v>-0.674</v>
      </c>
      <c r="K44" s="16">
        <f>DEGREES(J44)</f>
        <v/>
      </c>
    </row>
    <row r="45">
      <c r="A45" s="26" t="n">
        <v>40</v>
      </c>
      <c r="B45" s="4" t="inlineStr">
        <is>
          <t>retour</t>
        </is>
      </c>
      <c r="C45" s="26" t="n">
        <v>240</v>
      </c>
      <c r="D45" s="28" t="n">
        <v>-0.452</v>
      </c>
      <c r="E45" s="16">
        <f>DEGREES(D45)</f>
        <v/>
      </c>
      <c r="F45" s="28" t="n">
        <v>-0.454</v>
      </c>
      <c r="G45" s="16">
        <f>DEGREES(F45)</f>
        <v/>
      </c>
      <c r="H45" s="28" t="n">
        <v>-0.454</v>
      </c>
      <c r="I45" s="16">
        <f>DEGREES(H45)</f>
        <v/>
      </c>
      <c r="J45" s="28" t="n">
        <v>-0.582</v>
      </c>
      <c r="K45" s="16">
        <f>DEGREES(J45)</f>
        <v/>
      </c>
    </row>
    <row r="46">
      <c r="A46" s="26" t="n">
        <v>41</v>
      </c>
      <c r="B46" s="4" t="inlineStr">
        <is>
          <t>retour</t>
        </is>
      </c>
      <c r="C46" s="26" t="n">
        <v>210</v>
      </c>
      <c r="D46" s="28" t="n">
        <v>-0.389</v>
      </c>
      <c r="E46" s="16">
        <f>DEGREES(D46)</f>
        <v/>
      </c>
      <c r="F46" s="28" t="n">
        <v>-0.391</v>
      </c>
      <c r="G46" s="16">
        <f>DEGREES(F46)</f>
        <v/>
      </c>
      <c r="H46" s="28" t="n">
        <v>-0.389</v>
      </c>
      <c r="I46" s="16">
        <f>DEGREES(H46)</f>
        <v/>
      </c>
      <c r="J46" s="28" t="n">
        <v>-0.52</v>
      </c>
      <c r="K46" s="16">
        <f>DEGREES(J46)</f>
        <v/>
      </c>
    </row>
    <row r="47">
      <c r="A47" s="26" t="n">
        <v>42</v>
      </c>
      <c r="B47" s="4" t="inlineStr">
        <is>
          <t>retour</t>
        </is>
      </c>
      <c r="C47" s="26" t="n">
        <v>180</v>
      </c>
      <c r="D47" s="28" t="n">
        <v>-0.289</v>
      </c>
      <c r="E47" s="16">
        <f>DEGREES(D47)</f>
        <v/>
      </c>
      <c r="F47" s="28" t="n">
        <v>-0.289</v>
      </c>
      <c r="G47" s="16">
        <f>DEGREES(F47)</f>
        <v/>
      </c>
      <c r="H47" s="28" t="n">
        <v>-0.289</v>
      </c>
      <c r="I47" s="16">
        <f>DEGREES(H47)</f>
        <v/>
      </c>
      <c r="J47" s="28" t="n">
        <v>-0.418</v>
      </c>
      <c r="K47" s="16">
        <f>DEGREES(J47)</f>
        <v/>
      </c>
    </row>
    <row r="48">
      <c r="A48" s="26" t="n">
        <v>43</v>
      </c>
      <c r="B48" s="4" t="inlineStr">
        <is>
          <t>retour</t>
        </is>
      </c>
      <c r="C48" s="26" t="n">
        <v>150</v>
      </c>
      <c r="D48" s="28" t="n">
        <v>-0.216</v>
      </c>
      <c r="E48" s="16">
        <f>DEGREES(D48)</f>
        <v/>
      </c>
      <c r="F48" s="28" t="n">
        <v>-0.217</v>
      </c>
      <c r="G48" s="16">
        <f>DEGREES(F48)</f>
        <v/>
      </c>
      <c r="H48" s="28" t="n">
        <v>-0.217</v>
      </c>
      <c r="I48" s="16">
        <f>DEGREES(H48)</f>
        <v/>
      </c>
      <c r="J48" s="28" t="n">
        <v>-0.346</v>
      </c>
      <c r="K48" s="16">
        <f>DEGREES(J48)</f>
        <v/>
      </c>
    </row>
    <row r="49">
      <c r="A49" s="26" t="n">
        <v>44</v>
      </c>
      <c r="B49" s="4" t="inlineStr">
        <is>
          <t>retour</t>
        </is>
      </c>
      <c r="C49" s="26" t="n">
        <v>120</v>
      </c>
      <c r="D49" s="28" t="n">
        <v>-0.164</v>
      </c>
      <c r="E49" s="16">
        <f>DEGREES(D49)</f>
        <v/>
      </c>
      <c r="F49" s="28" t="n">
        <v>-0.167</v>
      </c>
      <c r="G49" s="16">
        <f>DEGREES(F49)</f>
        <v/>
      </c>
      <c r="H49" s="28" t="n">
        <v>-0.167</v>
      </c>
      <c r="I49" s="16">
        <f>DEGREES(H49)</f>
        <v/>
      </c>
      <c r="J49" s="28" t="n">
        <v>-0.296</v>
      </c>
      <c r="K49" s="16">
        <f>DEGREES(J49)</f>
        <v/>
      </c>
    </row>
    <row r="50">
      <c r="A50" s="26" t="n">
        <v>45</v>
      </c>
      <c r="B50" s="4" t="inlineStr">
        <is>
          <t>retour</t>
        </is>
      </c>
      <c r="C50" s="26" t="n">
        <v>90</v>
      </c>
      <c r="D50" s="28" t="n">
        <v>-0.098</v>
      </c>
      <c r="E50" s="16">
        <f>DEGREES(D50)</f>
        <v/>
      </c>
      <c r="F50" s="28" t="n">
        <v>-0.099</v>
      </c>
      <c r="G50" s="16">
        <f>DEGREES(F50)</f>
        <v/>
      </c>
      <c r="H50" s="28" t="n">
        <v>-0.098</v>
      </c>
      <c r="I50" s="16">
        <f>DEGREES(H50)</f>
        <v/>
      </c>
      <c r="J50" s="28" t="n">
        <v>-0.228</v>
      </c>
      <c r="K50" s="16">
        <f>DEGREES(J50)</f>
        <v/>
      </c>
    </row>
    <row r="51">
      <c r="A51" s="26" t="n">
        <v>46</v>
      </c>
      <c r="B51" s="4" t="inlineStr">
        <is>
          <t>retour</t>
        </is>
      </c>
      <c r="C51" s="26" t="n">
        <v>60</v>
      </c>
      <c r="D51" s="28" t="n">
        <v>-0.006</v>
      </c>
      <c r="E51" s="16">
        <f>DEGREES(D51)</f>
        <v/>
      </c>
      <c r="F51" s="28" t="n">
        <v>-0.008999999999999999</v>
      </c>
      <c r="G51" s="16">
        <f>DEGREES(F51)</f>
        <v/>
      </c>
      <c r="H51" s="28" t="n">
        <v>-0.008999999999999999</v>
      </c>
      <c r="I51" s="16">
        <f>DEGREES(H51)</f>
        <v/>
      </c>
      <c r="J51" s="28" t="n">
        <v>-0.138</v>
      </c>
      <c r="K51" s="16">
        <f>DEGREES(J51)</f>
        <v/>
      </c>
    </row>
    <row r="52">
      <c r="A52" s="26" t="n">
        <v>47</v>
      </c>
      <c r="B52" s="4" t="inlineStr">
        <is>
          <t>retour</t>
        </is>
      </c>
      <c r="C52" s="26" t="n">
        <v>30</v>
      </c>
      <c r="D52" s="28" t="n">
        <v>0.058</v>
      </c>
      <c r="E52" s="16">
        <f>DEGREES(D52)</f>
        <v/>
      </c>
      <c r="F52" s="28" t="n">
        <v>0.055</v>
      </c>
      <c r="G52" s="16">
        <f>DEGREES(F52)</f>
        <v/>
      </c>
      <c r="H52" s="28" t="n">
        <v>0.055</v>
      </c>
      <c r="I52" s="16">
        <f>DEGREES(H52)</f>
        <v/>
      </c>
      <c r="J52" s="28" t="n">
        <v>-0.073</v>
      </c>
      <c r="K52" s="16">
        <f>DEGREES(J52)</f>
        <v/>
      </c>
    </row>
    <row r="53">
      <c r="A53" s="26" t="n">
        <v>48</v>
      </c>
      <c r="B53" s="4" t="inlineStr">
        <is>
          <t>retour</t>
        </is>
      </c>
      <c r="C53" s="26" t="n">
        <v>0</v>
      </c>
      <c r="D53" s="28" t="n">
        <v>0.131</v>
      </c>
      <c r="E53" s="16">
        <f>DEGREES(D53)</f>
        <v/>
      </c>
      <c r="F53" s="28" t="n">
        <v>0.13</v>
      </c>
      <c r="G53" s="16">
        <f>DEGREES(F53)</f>
        <v/>
      </c>
      <c r="H53" s="28" t="n">
        <v>0.13</v>
      </c>
      <c r="I53" s="16">
        <f>DEGREES(H53)</f>
        <v/>
      </c>
      <c r="J53" s="28" t="n">
        <v>0.001</v>
      </c>
      <c r="K53" s="16">
        <f>DEGREES(J53)</f>
        <v/>
      </c>
    </row>
    <row r="58">
      <c r="A58" s="8" t="inlineStr">
        <is>
          <t>Résultats par essai</t>
        </is>
      </c>
    </row>
    <row r="59" ht="44" customHeight="1">
      <c r="A59" s="3" t="inlineStr">
        <is>
          <t>Essai</t>
        </is>
      </c>
      <c r="B59" s="3" t="inlineStr">
        <is>
          <t>Fichier</t>
        </is>
      </c>
      <c r="C59" s="3" t="inlineStr">
        <is>
          <t>Pente aller (°méca / tour élec.)</t>
        </is>
      </c>
      <c r="D59" s="3" t="inlineStr">
        <is>
          <t>Paires de pôles p = 360/|pente|</t>
        </is>
      </c>
      <c r="E59" s="3" t="inlineStr">
        <is>
          <t>p entier</t>
        </is>
      </c>
      <c r="F59" s="3" t="inlineStr">
        <is>
          <t>Sens</t>
        </is>
      </c>
      <c r="G59" s="3" t="inlineStr">
        <is>
          <t>Retour au départ (°méca)</t>
        </is>
      </c>
      <c r="H59" s="3" t="inlineStr">
        <is>
          <t>Écart aller/retour max (°méca)</t>
        </is>
      </c>
      <c r="I59" s="3" t="inlineStr">
        <is>
          <t>φ étape 8 (°élec)</t>
        </is>
      </c>
      <c r="J59" s="3" t="inlineStr">
        <is>
          <t>Dispersion φ rms (°élec)</t>
        </is>
      </c>
      <c r="K59" s="3" t="inlineStr">
        <is>
          <t>Dispersion φ pire (°élec)</t>
        </is>
      </c>
      <c r="L59" s="3" t="inlineStr">
        <is>
          <t>Remarque</t>
        </is>
      </c>
    </row>
    <row r="60">
      <c r="A60" s="26" t="n">
        <v>1</v>
      </c>
      <c r="B60" s="11" t="inlineStr">
        <is>
          <t>step9_1790434514548.csv</t>
        </is>
      </c>
      <c r="C60" s="16">
        <f>SLOPE(E5:E29,$C$5:$C$29)*360</f>
        <v/>
      </c>
      <c r="D60" s="35">
        <f>360/ABS(C60)</f>
        <v/>
      </c>
      <c r="E60" s="27">
        <f>ROUND(D60,0)</f>
        <v/>
      </c>
      <c r="F60" s="4">
        <f>IF(C60&lt;0,"inverse","direct")</f>
        <v/>
      </c>
      <c r="G60" s="16">
        <f>E53-E5</f>
        <v/>
      </c>
      <c r="H60" s="16">
        <f>MAX(ABS(E5-E53),ABS(E6-E52),ABS(E7-E51),ABS(E8-E50),ABS(E9-E49),ABS(E10-E48),ABS(E11-E47),ABS(E12-E46),ABS(E13-E45),ABS(E14-E44),ABS(E15-E43),ABS(E16-E42),ABS(E17-E41),ABS(E18-E40),ABS(E19-E39),ABS(E20-E38),ABS(E21-E37),ABS(E22-E36),ABS(E23-E35),ABS(E24-E34),ABS(E25-E33),ABS(E26-E32),ABS(E27-E31),ABS(E28-E30))</f>
        <v/>
      </c>
      <c r="I60" s="37" t="inlineStr">
        <is>
          <t>non relevé</t>
        </is>
      </c>
      <c r="J60" s="37" t="inlineStr">
        <is>
          <t>—</t>
        </is>
      </c>
      <c r="K60" s="4" t="inlineStr">
        <is>
          <t>—</t>
        </is>
      </c>
      <c r="L60" s="5" t="inlineStr"/>
    </row>
    <row r="61">
      <c r="A61" s="26" t="n">
        <v>2</v>
      </c>
      <c r="B61" s="11" t="inlineStr">
        <is>
          <t>step9_1790434555574.csv</t>
        </is>
      </c>
      <c r="C61" s="16">
        <f>SLOPE(G5:G29,$C$5:$C$29)*360</f>
        <v/>
      </c>
      <c r="D61" s="35">
        <f>360/ABS(C61)</f>
        <v/>
      </c>
      <c r="E61" s="27">
        <f>ROUND(D61,0)</f>
        <v/>
      </c>
      <c r="F61" s="4">
        <f>IF(C61&lt;0,"inverse","direct")</f>
        <v/>
      </c>
      <c r="G61" s="16">
        <f>G53-G5</f>
        <v/>
      </c>
      <c r="H61" s="16">
        <f>MAX(ABS(G5-G53),ABS(G6-G52),ABS(G7-G51),ABS(G8-G50),ABS(G9-G49),ABS(G10-G48),ABS(G11-G47),ABS(G12-G46),ABS(G13-G45),ABS(G14-G44),ABS(G15-G43),ABS(G16-G42),ABS(G17-G41),ABS(G18-G40),ABS(G19-G39),ABS(G20-G38),ABS(G21-G37),ABS(G22-G36),ABS(G23-G35),ABS(G24-G34),ABS(G25-G33),ABS(G26-G32),ABS(G27-G31),ABS(G28-G30))</f>
        <v/>
      </c>
      <c r="I61" s="17" t="n">
        <v>178</v>
      </c>
      <c r="J61" s="17" t="n">
        <v>5.2</v>
      </c>
      <c r="K61" s="42" t="inlineStr">
        <is>
          <t>10,3 à 10,9</t>
        </is>
      </c>
      <c r="L61" s="5" t="inlineStr"/>
    </row>
    <row r="62">
      <c r="A62" s="26" t="n">
        <v>3</v>
      </c>
      <c r="B62" s="11" t="inlineStr">
        <is>
          <t>step9_1790434569276.csv</t>
        </is>
      </c>
      <c r="C62" s="16">
        <f>SLOPE(I5:I29,$C$5:$C$29)*360</f>
        <v/>
      </c>
      <c r="D62" s="35">
        <f>360/ABS(C62)</f>
        <v/>
      </c>
      <c r="E62" s="27">
        <f>ROUND(D62,0)</f>
        <v/>
      </c>
      <c r="F62" s="4">
        <f>IF(C62&lt;0,"inverse","direct")</f>
        <v/>
      </c>
      <c r="G62" s="16">
        <f>I53-I5</f>
        <v/>
      </c>
      <c r="H62" s="16">
        <f>MAX(ABS(I5-I53),ABS(I6-I52),ABS(I7-I51),ABS(I8-I50),ABS(I9-I49),ABS(I10-I48),ABS(I11-I47),ABS(I12-I46),ABS(I13-I45),ABS(I14-I44),ABS(I15-I43),ABS(I16-I42),ABS(I17-I41),ABS(I18-I40),ABS(I19-I39),ABS(I20-I38),ABS(I21-I37),ABS(I22-I36),ABS(I23-I35),ABS(I24-I34),ABS(I25-I33),ABS(I26-I32),ABS(I27-I31),ABS(I28-I30))</f>
        <v/>
      </c>
      <c r="I62" s="17" t="n">
        <v>178.1</v>
      </c>
      <c r="J62" s="17" t="n">
        <v>5.2</v>
      </c>
      <c r="K62" s="42" t="inlineStr">
        <is>
          <t>10,3 à 10,9</t>
        </is>
      </c>
      <c r="L62" s="5" t="inlineStr"/>
    </row>
    <row r="63">
      <c r="A63" s="26" t="n">
        <v>4</v>
      </c>
      <c r="B63" s="11" t="inlineStr">
        <is>
          <t>step9_1790434600992.csv</t>
        </is>
      </c>
      <c r="C63" s="16">
        <f>SLOPE(K5:K29,$C$5:$C$29)*360</f>
        <v/>
      </c>
      <c r="D63" s="35">
        <f>360/ABS(C63)</f>
        <v/>
      </c>
      <c r="E63" s="27">
        <f>ROUND(D63,0)</f>
        <v/>
      </c>
      <c r="F63" s="4">
        <f>IF(C63&lt;0,"inverse","direct")</f>
        <v/>
      </c>
      <c r="G63" s="16">
        <f>K53-K5</f>
        <v/>
      </c>
      <c r="H63" s="16">
        <f>MAX(ABS(K5-K53),ABS(K6-K52),ABS(K7-K51),ABS(K8-K50),ABS(K9-K49),ABS(K10-K48),ABS(K11-K47),ABS(K12-K46),ABS(K13-K45),ABS(K14-K44),ABS(K15-K43),ABS(K16-K42),ABS(K17-K41),ABS(K18-K40),ABS(K19-K39),ABS(K20-K38),ABS(K21-K37),ABS(K22-K36),ABS(K23-K35),ABS(K24-K34),ABS(K25-K33),ABS(K26-K32),ABS(K27-K31),ABS(K28-K30))</f>
        <v/>
      </c>
      <c r="I63" s="17" t="n">
        <v>178.1</v>
      </c>
      <c r="J63" s="17" t="n">
        <v>5.2</v>
      </c>
      <c r="K63" s="42" t="inlineStr">
        <is>
          <t>10,3 à 10,9</t>
        </is>
      </c>
      <c r="L63" s="5" t="inlineStr">
        <is>
          <t>après redémarrage de la carte</t>
        </is>
      </c>
    </row>
    <row r="64">
      <c r="A64" s="4" t="inlineStr">
        <is>
          <t>Moy.</t>
        </is>
      </c>
      <c r="C64" s="16">
        <f>AVERAGE(C60:C63)</f>
        <v/>
      </c>
      <c r="D64" s="35">
        <f>AVERAGE(D60:D63)</f>
        <v/>
      </c>
      <c r="I64" s="18">
        <f>AVERAGE(I61:I63)</f>
        <v/>
      </c>
    </row>
    <row r="65">
      <c r="A65" s="4" t="inlineStr">
        <is>
          <t>Étendue</t>
        </is>
      </c>
      <c r="C65" s="16">
        <f>MAX(C60:C63)-MIN(C60:C63)</f>
        <v/>
      </c>
      <c r="D65" s="28">
        <f>MAX(D60:D63)-MIN(D60:D63)</f>
        <v/>
      </c>
      <c r="I65" s="18">
        <f>MAX(I61:I63)-MIN(I61:I63)</f>
        <v/>
      </c>
    </row>
    <row r="67">
      <c r="A67" s="2" t="inlineStr">
        <is>
          <t>Pente attendue pour 7 paires : −360/7 = −51,43 °méca par tour électrique. φ est calculé sur l'angle brut absolu RAW_ANGLE (0–4095), absent des CSV : valeurs du relevé console (police bleue), avec θélec = φ − 7·θméca.</t>
        </is>
      </c>
    </row>
    <row r="68">
      <c r="A68" s="2" t="inlineStr">
        <is>
          <t>Dispersion φ : 5,2° rms communiquée comme valeur intra-essai commune ; pire écart 10,3 à 10,9° selon l'essai (répartition par essai non fournie). Écart aller/retour : max |θm aller − θm retour| au même θe (0 à 690°) ; résolution 1 mrad = 0,057°.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40" customWidth="1" min="3" max="3"/>
  </cols>
  <sheetData>
    <row r="1">
      <c r="A1" s="1" t="inlineStr">
        <is>
          <t>Méthode, sources et points de vigilance</t>
        </is>
      </c>
    </row>
    <row r="2">
      <c r="A2" s="2" t="inlineStr">
        <is>
          <t>Comment chaque chiffre a été obtenu</t>
        </is>
      </c>
    </row>
    <row r="4">
      <c r="A4" s="3" t="inlineStr">
        <is>
          <t>Grandeur</t>
        </is>
      </c>
      <c r="B4" s="3" t="inlineStr">
        <is>
          <t>Obtention</t>
        </is>
      </c>
      <c r="C4" s="3" t="inlineStr">
        <is>
          <t>Source</t>
        </is>
      </c>
    </row>
    <row r="5" ht="58" customHeight="1">
      <c r="A5" s="43" t="inlineStr">
        <is>
          <t>Deltas de courant (étape 5)</t>
        </is>
      </c>
      <c r="B5" s="5" t="inlineStr">
        <is>
          <t>Par voie : moyenne des échantillons 30–50 ms (régime ; impulsion de 50 ms démarrant ~2 ms après le début de la capture) moins moyenne 60–100 ms (repos, après la coupure). Counts centrés ; 1 count ≈ 4,03 mA à l'échelle nominale 20 V/V × 10 mΩ.</t>
        </is>
      </c>
      <c r="C5" s="5" t="inlineStr">
        <is>
          <t>step5_&lt;a&gt;_&lt;b&gt;_&lt;c&gt;_50ms_&lt;horodatage&gt;.csv (20 fichiers, 2048 points à 20 kHz)</t>
        </is>
      </c>
    </row>
    <row r="6" ht="58" customHeight="1">
      <c r="A6" s="43" t="inlineStr">
        <is>
          <t>Erreur de somme</t>
        </is>
      </c>
      <c r="B6" s="5" t="inlineStr">
        <is>
          <t>(dA + dB + dC) / max(|dA|,|dB|,|dC|). Sans objet à écart nul (dénominateur ~1 count).</t>
        </is>
      </c>
      <c r="C6" s="5" t="inlineStr">
        <is>
          <t>Formules des onglets Étape 5 et Gains</t>
        </is>
      </c>
    </row>
    <row r="7" ht="58" customHeight="1">
      <c r="A7" s="43" t="inlineStr">
        <is>
          <t>Séries 1 et 2</t>
        </is>
      </c>
      <c r="B7" s="5" t="inlineStr">
        <is>
          <t>Série 1 : échantillonnage ADC 6,5 cycles (180 ns). Série 2 : 47,5 cycles (1,32 µs), chaque configuration jouée deux fois, seule la seconde est retenue (rotor aligné). Aucune correction de gain dans les deux séries.</t>
        </is>
      </c>
      <c r="C7" s="5" t="inlineStr">
        <is>
          <t>Horodatages des fichiers</t>
        </is>
      </c>
    </row>
    <row r="8" ht="58" customHeight="1">
      <c r="A8" s="43" t="inlineStr">
        <is>
          <t>Gains par voie</t>
        </is>
      </c>
      <c r="B8" s="5" t="inlineStr">
        <is>
          <t>Moindres carrés sous Ia+Ib+Ic = 0 : min Σ (dA + x·dB + y·dC)², gB = 1/x, gC = 1/y, sur 18 impulsions (6 configurations × 3 répétitions retenues). Recalculés dans l'onglet Gains par SUMPRODUCT et comparés aux valeurs du script.</t>
        </is>
      </c>
      <c r="C8" s="5" t="inlineStr">
        <is>
          <t>gains_run1.txt (lignes et JSON), script gains.ts</t>
        </is>
      </c>
    </row>
    <row r="9" ht="58" customHeight="1">
      <c r="A9" s="43" t="inlineStr">
        <is>
          <t>Vérification des gains</t>
        </is>
      </c>
      <c r="B9" s="5" t="inlineStr">
        <is>
          <t>Même campagne rejouée firmware corrigé (12 impulsions, 2 par configuration) : gains ré-ajustés ≈ 1 et somme brute 4,5 % rms.</t>
        </is>
      </c>
      <c r="C9" s="5" t="inlineStr">
        <is>
          <t>gains_run2.txt</t>
        </is>
      </c>
    </row>
    <row r="10" ht="58" customHeight="1">
      <c r="A10" s="43" t="inlineStr">
        <is>
          <t>Zéro au repos</t>
        </is>
      </c>
      <c r="B10" s="5" t="inlineStr">
        <is>
          <t>Statistiques sur 10 240 échantillons par voie, sorties coupées, hors CAL.</t>
        </is>
      </c>
      <c r="C10" s="5" t="inlineStr">
        <is>
          <t>Relevé console</t>
        </is>
      </c>
    </row>
    <row r="11" ht="58" customHeight="1">
      <c r="A11" s="43" t="inlineStr">
        <is>
          <t>Paires de pôles (étape 9)</t>
        </is>
      </c>
      <c r="B11" s="5" t="inlineStr">
        <is>
          <t>Régression linéaire θm (°) sur θe (°) sur l'aller seul (25 points, 0 à 720°), × 360 → degrés mécaniques par tour électrique ; p = 360/|pente|. Recalculé par SLOPE dans l'onglet.</t>
        </is>
      </c>
      <c r="C11" s="5" t="inlineStr">
        <is>
          <t>step9_&lt;horodatage&gt;.csv (4 fichiers), script poles.ts</t>
        </is>
      </c>
    </row>
    <row r="12" ht="58" customHeight="1">
      <c r="A12" s="43" t="inlineStr">
        <is>
          <t>Décalage électrique (étape 8)</t>
        </is>
      </c>
      <c r="B12" s="5" t="inlineStr">
        <is>
          <t>φ = moyenne circulaire de (θe + 7·θraw) sur tous les points de l'essai, θraw = RAW_ANGLE × 360/4096 ; dispersion = écart quadratique et pire écart autour de φ.</t>
        </is>
      </c>
      <c r="C12" s="5" t="inlineStr">
        <is>
          <t>Relevé console (angle brut absent des CSV)</t>
        </is>
      </c>
    </row>
    <row r="13" ht="58" customHeight="1">
      <c r="A13" s="43" t="inlineStr">
        <is>
          <t>Rails, boucle, limites, résistance</t>
        </is>
      </c>
      <c r="B13" s="5" t="inlineStr">
        <is>
          <t>Relevés console ; R ≈ 7 Ω de A vers B∥C ⇒ ≈ 4,7 Ω par phase (× 2/3).</t>
        </is>
      </c>
      <c r="C13" s="5" t="inlineStr">
        <is>
          <t>Relevé console, STATUS.md</t>
        </is>
      </c>
    </row>
    <row r="14" ht="58" customHeight="1">
      <c r="A14" s="43" t="inlineStr">
        <is>
          <t>Échelle absolue, R et L (étape 7)</t>
        </is>
      </c>
      <c r="B14" s="5" t="inlineStr">
        <is>
          <t>Deux paliers de 10 s (600 et 550 ‰ sur A) : le rapport des courants donne la perte de temps mort δ ; (I_alim − I_repos) = (écart − δ) × Ia + Ig, résolu sur les deux paliers ⇒ Ia en mA, d'où l'échelle. R = ΔV/ΔIa entre paliers (temps mort éliminé) ; L = τ × R, τ lu sur la montée du courant de la capture 1790433425069. Tout est recalculé par formules dans l'onglet.</t>
        </is>
      </c>
      <c r="C14" s="5" t="inlineStr">
        <is>
          <t>Relevé console + ampèremètre (communiqué) ; step5_600_500_500_50ms_1790433425069.csv</t>
        </is>
      </c>
    </row>
    <row r="15" ht="58" customHeight="1">
      <c r="A15" s="43" t="inlineStr">
        <is>
          <t>Capture typique</t>
        </is>
      </c>
      <c r="B15" s="5" t="inlineStr">
        <is>
          <t>Fichier 1790433425069 sous-échantillonné 1/4 (512 points) pour alléger le classeur.</t>
        </is>
      </c>
      <c r="C15" s="5" t="inlineStr">
        <is>
          <t>step5_600_500_500_50ms_1790433425069.csv</t>
        </is>
      </c>
    </row>
    <row r="17">
      <c r="A17" s="8" t="inlineStr">
        <is>
          <t>Points de vigilance sur les données</t>
        </is>
      </c>
    </row>
    <row r="18" ht="46" customHeight="1">
      <c r="A18" s="9" t="inlineStr">
        <is>
          <t>1.</t>
        </is>
      </c>
      <c r="B18" s="10" t="inlineStr">
        <is>
          <t>Série 1, rampe A dominante : l'erreur de somme n'est pas monotone — 9,1 % à 30 ‰, 41,0 % à 50 ‰, 15,3 % à 70 ‰, 23,8 % à 100 ‰. Le point à 50 ‰ coïncide avec un rotor qui bouge de 0,15 rad pendant l'impulsion. STATUS.md écrit « la somme se tenait à 30 ‰ d'écart » : vrai à 30 ‰, pas à 50 ‰.</t>
        </is>
      </c>
    </row>
    <row r="19" ht="46" customHeight="1">
      <c r="A19" s="9" t="inlineStr">
        <is>
          <t>2.</t>
        </is>
      </c>
      <c r="B19" s="10" t="inlineStr">
        <is>
          <t>Série 1, 600/500/500 : la méthode donne 23,8 % ; STATUS.md écrit « 22 % à 100 ‰ ». Même ordre de grandeur, écart probablement dû à une fenêtre de moyennage différente lors de l'essai. Série 2 retenu : 4,0 %, cohérent avec « passe à 4 % ».</t>
        </is>
      </c>
    </row>
    <row r="20" ht="46" customHeight="1">
      <c r="A20" s="9" t="inlineStr">
        <is>
          <t>3.</t>
        </is>
      </c>
      <c r="B20" s="10" t="inlineStr">
        <is>
          <t>Run 1 des gains, 500/400/500 #1 : dA = 16,7 counts au lieu de ~52 pour les deux autres répétitions — rotor probablement pas aligné. L'impulsion est incluse dans l'ajustement (comme dans le script) et fait le pire de l'erreur corrigée (7,3 %).</t>
        </is>
      </c>
    </row>
    <row r="21" ht="46" customHeight="1">
      <c r="A21" s="9" t="inlineStr">
        <is>
          <t>4.</t>
        </is>
      </c>
      <c r="B21" s="10" t="inlineStr">
        <is>
          <t>STATUS.md, tableau de l'étape 5 : gain C « 1,18 » (première estimation) ; la campagne donne 1,195, valeur retenue dans le firmware.</t>
        </is>
      </c>
    </row>
    <row r="22" ht="46" customHeight="1">
      <c r="A22" s="9" t="inlineStr">
        <is>
          <t>5.</t>
        </is>
      </c>
      <c r="B22" s="10" t="inlineStr">
        <is>
          <t>STATUS.md, liste des protections : « 0 à 900 ‰ par bras » ; le plafond a ensuite été abaissé à 800 ‰ (même section, plus bas). La valeur en vigueur est 800 ‰.</t>
        </is>
      </c>
    </row>
    <row r="23" ht="46" customHeight="1">
      <c r="A23" s="9" t="inlineStr">
        <is>
          <t>6.</t>
        </is>
      </c>
      <c r="B23" s="10" t="inlineStr">
        <is>
          <t>Étape 9 : STATUS.md écrit « l'aller et le retour se superposent à moins de 0,35° ». Vrai pour les essais 1 et 3 (0,34°) ; les essais 2 et 4 vont jusqu'à 0,46° (8 mrad). Le retour au départ (0,06 à 0,17°) est conforme.</t>
        </is>
      </c>
    </row>
    <row r="24" ht="46" customHeight="1">
      <c r="A24" s="9" t="inlineStr">
        <is>
          <t>7.</t>
        </is>
      </c>
      <c r="B24" s="10" t="inlineStr">
        <is>
          <t>Étape 8 : « 10,9° au pire » dans STATUS.md, 10,3 à 10,9° selon l'essai dans le relevé : compatible. Pas de φ relevé pour l'essai 1.</t>
        </is>
      </c>
    </row>
    <row r="25" ht="46" customHeight="1">
      <c r="A25" s="9" t="inlineStr">
        <is>
          <t>8.</t>
        </is>
      </c>
      <c r="B25" s="10" t="inlineStr">
        <is>
          <t>Résistance : ≈ 7 Ω A→(B∥C) (≈ 4,7 Ω par phase) dans STATUS.md et le relevé console, contre 5,42–5,44 Ω (≈ 3,6 Ω) à l'étape 7. L'estimation initiale reposait sur l'échelle nominale et ignorait le temps mort ; la valeur de l'étape 7 la remplace. De même, STATUS.md attend « ≈ 43 mA à 100 ‰ » au courant d'alimentation : mesuré ≈ 21 mA au-dessus du repos (écart effectif 8,4 % × 227 mA + Ig).</t>
        </is>
      </c>
    </row>
    <row r="26" ht="46" customHeight="1">
      <c r="A26" s="9" t="inlineStr">
        <is>
          <t>9.</t>
        </is>
      </c>
      <c r="B26" s="10" t="inlineStr">
        <is>
          <t>τ : la fin d'impulsion (entre 51,90 et 51,95 ms) place le début entre 1,90 et 1,95 ms ; τ vaut alors de 0,34 à 0,27 ms. Un ajustement à t0 libre donne ≈ 0,29 ms ; la valeur 0,344 ms communiquée correspond à t0 = 1,90 ms. τ ≈ 0,3 ms retenu, L à ±25 %.</t>
        </is>
      </c>
    </row>
    <row r="27" ht="46" customHeight="1">
      <c r="A27" s="9" t="inlineStr">
        <is>
          <t>10.</t>
        </is>
      </c>
      <c r="B27" s="10" t="inlineStr">
        <is>
          <t>Étape 7 : recalculées par formules à partir des entrées arrondies, les valeurs diffèrent un peu des chiffres communiqués (Ia1 228 contre 227 mA, R 5,42 contre 5,44 Ω, échelle 1,83 contre 1,82 mA/count) — écarts d'arrondi, très en deçà de l'incertitude de ±15 %.</t>
        </is>
      </c>
    </row>
    <row r="28" ht="46" customHeight="1">
      <c r="A28" s="9" t="inlineStr">
        <is>
          <t>11.</t>
        </is>
      </c>
      <c r="B28" s="10" t="inlineStr">
        <is>
          <t>Étape 7, repos : Ia = 3,6 counts corrigés, contre « −1, 0, 0 » au repos dans le relevé de l'étape 5 — petite dérive du zéro de A entre les deux relevés.</t>
        </is>
      </c>
    </row>
    <row r="29" ht="46" customHeight="1">
      <c r="A29" s="9" t="inlineStr">
        <is>
          <t>12.</t>
        </is>
      </c>
      <c r="B29" s="10" t="inlineStr">
        <is>
          <t>Durée ISR : 3,57 µs typique / 6,09 µs pire le 2026-09-26, contre 2,60 µs au pire à l'étape 6 (2026-09-21) — cohérent avec l'ajout de code depuis, pas une contradiction.</t>
        </is>
      </c>
    </row>
    <row r="31">
      <c r="A31" s="8" t="inlineStr">
        <is>
          <t>Fichiers sources</t>
        </is>
      </c>
    </row>
    <row r="32">
      <c r="A32" s="44" t="inlineStr">
        <is>
          <t>Données brutes : répertoire scratchpad de la session (hors dépôt) C:\Users\echan\AppData\Local\Temp\claude\H--Repos-a2n-bldc\29db5842-4784-4b0d-9a4a-eb4df09ec258\scratchpad\</t>
        </is>
      </c>
    </row>
    <row r="33">
      <c r="A33" s="44" t="inlineStr">
        <is>
          <t>Contexte : H:\Repos\a2n-bldc\STATUS.md (Étape 5, Étapes 9 et 8, Stabilisation du firmware, Décisions) ; controller-2/AGENTS.md §5 pour les critères.</t>
        </is>
      </c>
    </row>
  </sheetData>
  <mergeCells count="12">
    <mergeCell ref="B21:C21"/>
    <mergeCell ref="B24:C24"/>
    <mergeCell ref="B29:C29"/>
    <mergeCell ref="B25:C25"/>
    <mergeCell ref="B19:C19"/>
    <mergeCell ref="B20:C20"/>
    <mergeCell ref="B27:C27"/>
    <mergeCell ref="B28:C28"/>
    <mergeCell ref="B23:C23"/>
    <mergeCell ref="B22:C22"/>
    <mergeCell ref="B26:C26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2026-09-26T15:15:37Z</dcterms:created>
  <dcterms:modified xsi:type="dcterms:W3CDTF">2026-09-26T15:15:37Z</dcterms:modified>
</cp:coreProperties>
</file>